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a Perros" sheetId="1" r:id="rId4"/>
    <sheet state="visible" name="Formula Gatos" sheetId="2" r:id="rId5"/>
    <sheet state="visible" name="Productos" sheetId="3" r:id="rId6"/>
    <sheet state="visible" name="Razas" sheetId="4" r:id="rId7"/>
    <sheet state="visible" name="Formula Final Calculo" sheetId="5" r:id="rId8"/>
  </sheets>
  <definedNames>
    <definedName hidden="1" localSheetId="2" name="_xlnm._FilterDatabase">Productos!$B$5:$I$90</definedName>
  </definedNames>
  <calcPr/>
  <extLst>
    <ext uri="GoogleSheetsCustomDataVersion2">
      <go:sheetsCustomData xmlns:go="http://customooxmlschemas.google.com/" r:id="rId9" roundtripDataChecksum="ZSFDZb51UFxwrGaawFg880pVvFWeOvIl0rL0FF5CX14="/>
    </ext>
  </extLst>
</workbook>
</file>

<file path=xl/sharedStrings.xml><?xml version="1.0" encoding="utf-8"?>
<sst xmlns="http://schemas.openxmlformats.org/spreadsheetml/2006/main" count="794" uniqueCount="475">
  <si>
    <t>Formula cálculo Kcal/dia</t>
  </si>
  <si>
    <t>Fórmula cálculo Gr producto / dia</t>
  </si>
  <si>
    <r>
      <rPr>
        <rFont val="Arial"/>
        <b/>
        <color rgb="FF980000"/>
        <sz val="12.0"/>
      </rPr>
      <t>FACTESTERILIZADO</t>
    </r>
    <r>
      <rPr>
        <rFont val="Arial"/>
        <b/>
        <color rgb="FF000000"/>
        <sz val="12.0"/>
      </rPr>
      <t>*</t>
    </r>
    <r>
      <rPr>
        <rFont val="Arial"/>
        <b/>
        <color rgb="FF0000FF"/>
        <sz val="12.0"/>
      </rPr>
      <t>FACTSNACKS</t>
    </r>
    <r>
      <rPr>
        <rFont val="Arial"/>
        <b/>
        <color rgb="FF000000"/>
        <sz val="12.0"/>
      </rPr>
      <t>*</t>
    </r>
    <r>
      <rPr>
        <rFont val="Arial"/>
        <b/>
        <color rgb="FF9900FF"/>
        <sz val="12.0"/>
      </rPr>
      <t>FACTOREDAD</t>
    </r>
    <r>
      <rPr>
        <rFont val="Arial"/>
        <b/>
        <color rgb="FF000000"/>
        <sz val="12.0"/>
      </rPr>
      <t>*</t>
    </r>
    <r>
      <rPr>
        <rFont val="Arial"/>
        <b/>
        <color rgb="FFFF00FF"/>
        <sz val="12.0"/>
      </rPr>
      <t>(VAR-ACTIVIDAD</t>
    </r>
    <r>
      <rPr>
        <rFont val="Arial"/>
        <b val="0"/>
        <color rgb="FF000000"/>
        <sz val="12.0"/>
      </rPr>
      <t>*(</t>
    </r>
    <r>
      <rPr>
        <rFont val="Arial"/>
        <b/>
        <color rgb="FF0000FF"/>
        <sz val="12.0"/>
      </rPr>
      <t>PESO</t>
    </r>
    <r>
      <rPr>
        <rFont val="Arial"/>
        <b val="0"/>
        <color rgb="FF000000"/>
        <sz val="12.0"/>
      </rPr>
      <t>)^0,75)</t>
    </r>
  </si>
  <si>
    <r>
      <rPr>
        <rFont val="Arial"/>
        <color theme="1"/>
        <sz val="12.0"/>
      </rPr>
      <t>(</t>
    </r>
    <r>
      <rPr>
        <rFont val="Arial"/>
        <b/>
        <color theme="1"/>
        <sz val="12.0"/>
      </rPr>
      <t>Kcal/dia</t>
    </r>
    <r>
      <rPr>
        <rFont val="Arial"/>
        <color theme="1"/>
        <sz val="12.0"/>
      </rPr>
      <t>)/(</t>
    </r>
    <r>
      <rPr>
        <rFont val="Arial"/>
        <b/>
        <color theme="1"/>
        <sz val="12.0"/>
      </rPr>
      <t>kcal Em/kg de pienso</t>
    </r>
    <r>
      <rPr>
        <rFont val="Arial"/>
        <color theme="1"/>
        <sz val="12.0"/>
      </rPr>
      <t>)*1000</t>
    </r>
  </si>
  <si>
    <t>Edad y tamaño de raza</t>
  </si>
  <si>
    <t>FACTOREDAD</t>
  </si>
  <si>
    <t>Raza S/M + Edad: Cachorro + Hasta 4 meses</t>
  </si>
  <si>
    <t>Kcal/dia</t>
  </si>
  <si>
    <t>Raza S/M + Edad: Cachorro + 4-6 meses</t>
  </si>
  <si>
    <t>Raza S/M + Edad: Cachorro + 6-10 meses</t>
  </si>
  <si>
    <t>Raza S/M + Edad: Cachorro + 10-12 meses</t>
  </si>
  <si>
    <t>Raza L + Edad: Cachorro Grande - Hasta 4 meses</t>
  </si>
  <si>
    <t>Raza L + Edad: Cachorro Grande - 4 - 8meses</t>
  </si>
  <si>
    <t>Raza L + Edad: Cachorro Grande - 8-12 meses</t>
  </si>
  <si>
    <t>Raza L + Edad: Cachorro Grande - 12 - 18 meses</t>
  </si>
  <si>
    <t>Raza L + Edad: Cachorro Grande - 18 - 24 meses</t>
  </si>
  <si>
    <t>Edad: Adulto</t>
  </si>
  <si>
    <t>Edad: Senior</t>
  </si>
  <si>
    <t>Edad: Adulto Raza Gigante</t>
  </si>
  <si>
    <t>Nivel de actividad</t>
  </si>
  <si>
    <t>VAR-ACTIVIDAD</t>
  </si>
  <si>
    <t>Adulto - Baja</t>
  </si>
  <si>
    <t>Adulto - Media</t>
  </si>
  <si>
    <t>Adulto - Muy alta (actividad deportiva)</t>
  </si>
  <si>
    <t>Cachorro</t>
  </si>
  <si>
    <t>Senior</t>
  </si>
  <si>
    <t>Esterilizado</t>
  </si>
  <si>
    <t>FACTESTERILIZADO</t>
  </si>
  <si>
    <t>Si</t>
  </si>
  <si>
    <t>No</t>
  </si>
  <si>
    <t>Premios</t>
  </si>
  <si>
    <t>FACTSNACKS</t>
  </si>
  <si>
    <t>1 o menos al día</t>
  </si>
  <si>
    <t>2-3 al día</t>
  </si>
  <si>
    <t>Más de 3</t>
  </si>
  <si>
    <t>Peso</t>
  </si>
  <si>
    <t>Fórmula cáculo Gr producto / dia</t>
  </si>
  <si>
    <r>
      <rPr>
        <rFont val="Arial"/>
        <b/>
        <color rgb="FF9900FF"/>
        <sz val="12.0"/>
      </rPr>
      <t>FACT</t>
    </r>
    <r>
      <rPr>
        <rFont val="Arial"/>
        <b/>
        <color rgb="FF000000"/>
        <sz val="12.0"/>
      </rPr>
      <t>*(</t>
    </r>
    <r>
      <rPr>
        <rFont val="Arial"/>
        <b/>
        <color rgb="FF0000FF"/>
        <sz val="12.0"/>
      </rPr>
      <t>PESO</t>
    </r>
    <r>
      <rPr>
        <rFont val="Arial"/>
        <b/>
        <color rgb="FF000000"/>
        <sz val="12.0"/>
      </rPr>
      <t>^</t>
    </r>
    <r>
      <rPr>
        <rFont val="Arial"/>
        <b/>
        <color rgb="FF45818E"/>
        <sz val="12.0"/>
      </rPr>
      <t>FACT2</t>
    </r>
    <r>
      <rPr>
        <rFont val="Arial"/>
        <b/>
        <color rgb="FF000000"/>
        <sz val="12.0"/>
      </rPr>
      <t>)</t>
    </r>
  </si>
  <si>
    <t>(Kcal/dia)/(kcal Em/kg de pienso)*1000</t>
  </si>
  <si>
    <t>Casos - Factores de la fórmula</t>
  </si>
  <si>
    <t>FACT</t>
  </si>
  <si>
    <t>FACT2</t>
  </si>
  <si>
    <t>GATOS JÓVENES 6-20 SEMANAS</t>
  </si>
  <si>
    <t>GATOS JÓVENES 4-7 MESES</t>
  </si>
  <si>
    <t>GATOS JÓVENES 7-9 MESES</t>
  </si>
  <si>
    <t>GATOS JÓVENES 9-12 MESES</t>
  </si>
  <si>
    <t>GATOS JOVENES &gt;12 MESES</t>
  </si>
  <si>
    <t>GATOS ADULTOS</t>
  </si>
  <si>
    <t>GATOS EXCESO DE PESO (O ESTERILIZADO)</t>
  </si>
  <si>
    <t>GATOS SENIOR</t>
  </si>
  <si>
    <t>ID</t>
  </si>
  <si>
    <t>EAN</t>
  </si>
  <si>
    <t>Cantidad</t>
  </si>
  <si>
    <t>SKU</t>
  </si>
  <si>
    <t>Nombre</t>
  </si>
  <si>
    <t>Tipo Alimento</t>
  </si>
  <si>
    <t>Tipo Animal</t>
  </si>
  <si>
    <t>Segmento</t>
  </si>
  <si>
    <t>kcal Em/kg</t>
  </si>
  <si>
    <t>LINK WEB</t>
  </si>
  <si>
    <t>500 gr</t>
  </si>
  <si>
    <t>RET005000</t>
  </si>
  <si>
    <t>RETORN PUPPY SALMON 500 GR - NEW</t>
  </si>
  <si>
    <t>Seco</t>
  </si>
  <si>
    <t>Perro</t>
  </si>
  <si>
    <t>Cachorros</t>
  </si>
  <si>
    <t>https://retorn.com/products/pienso-natural-cachorros-salmon?variant=43289910542553</t>
  </si>
  <si>
    <t>3 kg</t>
  </si>
  <si>
    <t>RET00503</t>
  </si>
  <si>
    <t>RETORN PUPPY SALMON 3 KG - NEW</t>
  </si>
  <si>
    <t>https://retorn.com/products/pienso-natural-cachorros-salmon?variant=42813746315481</t>
  </si>
  <si>
    <t>6 kg</t>
  </si>
  <si>
    <t>RET0051</t>
  </si>
  <si>
    <t>RETORN PUPPY SALMON 6 KG</t>
  </si>
  <si>
    <t>https://retorn.com/products/pienso-natural-cachorros-salmon?variant=12167525924930</t>
  </si>
  <si>
    <t>12 kg</t>
  </si>
  <si>
    <t>RET0052</t>
  </si>
  <si>
    <t>RETORN PUPPY SALMON 12 KG</t>
  </si>
  <si>
    <t>https://retorn.com/products/pienso-natural-cachorros-salmon?_pos=1&amp;_sid=9414974ed&amp;_ss=r&amp;variant=12167525924930</t>
  </si>
  <si>
    <t>RET006500</t>
  </si>
  <si>
    <t>RETORN LIGHT AND SENIOR 500 GR - NEW</t>
  </si>
  <si>
    <t>Senior Light</t>
  </si>
  <si>
    <t>https://retorn.com/products/pienso-natural-perros-light?variant=43289889013977</t>
  </si>
  <si>
    <t>RET00603</t>
  </si>
  <si>
    <t>RETORN ADULT LIGHT &amp; SENIOR 3 KG - NEW</t>
  </si>
  <si>
    <t>https://retorn.com/products/pienso-natural-perros-light?variant=12167962591298</t>
  </si>
  <si>
    <t>RET0062</t>
  </si>
  <si>
    <t>RETORN LIGHT AND SENIOR SALMON 12 KG</t>
  </si>
  <si>
    <t>https://retorn.com/products/pienso-natural-perros-light?variant=12167962656834</t>
  </si>
  <si>
    <t>20 kg</t>
  </si>
  <si>
    <t>RET0063</t>
  </si>
  <si>
    <t>RETORN LIGHT AND SENIOR SALMON 20 KG</t>
  </si>
  <si>
    <t>https://retorn.com/products/pienso-natural-perros-light?variant=12167962689602</t>
  </si>
  <si>
    <t>RETAP500</t>
  </si>
  <si>
    <t>RETORN ADULT POLLO 500 GR - NEW</t>
  </si>
  <si>
    <t>Adulto Pollo</t>
  </si>
  <si>
    <t>https://retorn.com/products/pienso-natural-perros-pollo?variant=43289754370265</t>
  </si>
  <si>
    <t>RETAP03</t>
  </si>
  <si>
    <t>RETORN ADULT POLLO 3 KG - NEW</t>
  </si>
  <si>
    <t>https://retorn.com/products/pienso-natural-perros-pollo?variant=12167859863618</t>
  </si>
  <si>
    <t>RETAP12</t>
  </si>
  <si>
    <t>RETORN ADULT POLLO 12 KG - NEW</t>
  </si>
  <si>
    <t>https://retorn.com/products/pienso-natural-perros-pollo?variant=42655252512985</t>
  </si>
  <si>
    <t>RETAP20</t>
  </si>
  <si>
    <t>RETORN ADULT POLLO 20 KG - NEW</t>
  </si>
  <si>
    <t xml:space="preserve">Adulto Pollo </t>
  </si>
  <si>
    <t>https://retorn.com/products/pienso-natural-perros-pollo?variant=42655252545753</t>
  </si>
  <si>
    <t>RETAP500S</t>
  </si>
  <si>
    <t>RETORN ADULT POLLO 500 GR SMALL BITE - NEW</t>
  </si>
  <si>
    <t>Adulto Pollo Razas S</t>
  </si>
  <si>
    <t>https://retorn.com/products/pienso-natural-perros-pollo?variant=43289754337497</t>
  </si>
  <si>
    <t>RETAP03S</t>
  </si>
  <si>
    <t>RETORN ADULT POLLO 3 KG SMALL BITE - NEW</t>
  </si>
  <si>
    <t>https://retorn.com/products/pienso-natural-perros-pollo?variant=42173524246745</t>
  </si>
  <si>
    <t>RETAP12S</t>
  </si>
  <si>
    <t>RETORN ADULT POLLO 12 KG - NEW SMALL BITE</t>
  </si>
  <si>
    <t>https://retorn.com/products/pienso-natural-perros-pollo?variant=43161357779161</t>
  </si>
  <si>
    <t>RET0033500</t>
  </si>
  <si>
    <t>RETORN ADULT CORDERO 500 GR - NEW</t>
  </si>
  <si>
    <t>Adulto Cordero</t>
  </si>
  <si>
    <t>https://retorn.com/products/pienso-natural-perros-cordero?variant=43289746342105</t>
  </si>
  <si>
    <t>RET00333</t>
  </si>
  <si>
    <t>RETORN ADULT CORDERO 3 KG</t>
  </si>
  <si>
    <t>https://retorn.com/products/pienso-natural-perros-cordero?variant=42655137169625</t>
  </si>
  <si>
    <t>RET0032</t>
  </si>
  <si>
    <t>RETORN ADULT CORDERO 12 KG</t>
  </si>
  <si>
    <t>https://retorn.com/products/pienso-natural-perros-cordero?variant=42655137267929</t>
  </si>
  <si>
    <t>RET0030</t>
  </si>
  <si>
    <t>RETORN ADULT CORDERO 20 KG</t>
  </si>
  <si>
    <t>https://retorn.com/products/pienso-natural-perros-cordero?variant=42655137300697</t>
  </si>
  <si>
    <t>RET0033500S</t>
  </si>
  <si>
    <t>RETORN ADULT CORDERO SMALL BITE 500 GR - NEW</t>
  </si>
  <si>
    <t>Adulto Cordero Razas S</t>
  </si>
  <si>
    <t>https://retorn.com/products/pienso-natural-perros-cordero?variant=43289746309337</t>
  </si>
  <si>
    <t>RET00333S</t>
  </si>
  <si>
    <t>RETORN ADULT CORDERO 3 KG SMALL BITE - NEW</t>
  </si>
  <si>
    <t>https://retorn.com/products/pienso-natural-perros-cordero?variant=42655137530073</t>
  </si>
  <si>
    <t>RET0032S</t>
  </si>
  <si>
    <t>RETORN ADULT CORDERO 12 KG - SMALL</t>
  </si>
  <si>
    <t>https://retorn.com/products/pienso-natural-perros-cordero?variant=43161352339673</t>
  </si>
  <si>
    <t>RET002500</t>
  </si>
  <si>
    <t>RETORN ADULT SALMON 500 GR - NEW</t>
  </si>
  <si>
    <t>Adulto Salmón</t>
  </si>
  <si>
    <t>https://retorn.com/products/pienso-natural-perros-salmon?variant=43289875513561</t>
  </si>
  <si>
    <t>RET00203</t>
  </si>
  <si>
    <t>RETORN ADULT SALMON 3 KG</t>
  </si>
  <si>
    <t>https://retorn.com/products/pienso-natural-perros-salmon?variant=42651916140761</t>
  </si>
  <si>
    <t>RET0022</t>
  </si>
  <si>
    <t>RETORN ADULT SALMON 12 KG</t>
  </si>
  <si>
    <t>https://retorn.com/products/pienso-natural-perros-salmon?variant=42651916173529</t>
  </si>
  <si>
    <t>RET0023</t>
  </si>
  <si>
    <t>RETORN ADULT SALMON 20 KG</t>
  </si>
  <si>
    <t>https://retorn.com/products/pienso-natural-perros-salmon?variant=42651916206297</t>
  </si>
  <si>
    <t>RET002500S</t>
  </si>
  <si>
    <t>RETORN ADULT SALMON 500 GR SMALL BITE - NEW</t>
  </si>
  <si>
    <t>Adulto Salmón Razas S</t>
  </si>
  <si>
    <t>https://retorn.com/products/pienso-natural-perros-salmon?variant=43289875480793</t>
  </si>
  <si>
    <t>RET00203S</t>
  </si>
  <si>
    <t>RETORN ADULT SALMON 3 KG SMALL BITE</t>
  </si>
  <si>
    <t>https://retorn.com/products/pienso-natural-perros-salmon?variant=43387689959641</t>
  </si>
  <si>
    <t>RET0022S</t>
  </si>
  <si>
    <t>RETORN ADULT SALMON 12 KG SMALL BITE</t>
  </si>
  <si>
    <t>https://retorn.com/products/pienso-natural-perros-salmon?variant=43161301516505</t>
  </si>
  <si>
    <t>RET501500</t>
  </si>
  <si>
    <t>RETORN CAT ADULT FISH 500 GR - NEW</t>
  </si>
  <si>
    <t>Gato</t>
  </si>
  <si>
    <t>Adulto Pescado</t>
  </si>
  <si>
    <t>https://retorn.com/products/pienso-para-gatos-pescado?variant=43289984827609</t>
  </si>
  <si>
    <t>2 kg</t>
  </si>
  <si>
    <t>RET501</t>
  </si>
  <si>
    <t>RETORN CAT ADULT FISH 2KG</t>
  </si>
  <si>
    <t>https://retorn.com/products/pienso-para-gatos-pescado?variant=42413789053145</t>
  </si>
  <si>
    <t>8kg</t>
  </si>
  <si>
    <t>RET5018</t>
  </si>
  <si>
    <t>RETORN CAT ADULT FISH 8KG</t>
  </si>
  <si>
    <t>https://retorn.com/products/pienso-para-gatos-pescado?variant=43568574202073</t>
  </si>
  <si>
    <t>RET502500</t>
  </si>
  <si>
    <t>RETORN CAT ADULT CHICKEN 500 GR - NEW</t>
  </si>
  <si>
    <t>https://retorn.com/products/pienso-para-gatos-pollo?variant=43289965068505</t>
  </si>
  <si>
    <t>RET502</t>
  </si>
  <si>
    <t>RETORN CAT ADULT CHICKEN 2KG</t>
  </si>
  <si>
    <t>https://retorn.com/products/pienso-para-gatos-pollo?variant=42413796983001</t>
  </si>
  <si>
    <t>RET5028</t>
  </si>
  <si>
    <t>RETORN CAT ADULT CHICKEN 8KG</t>
  </si>
  <si>
    <t>https://retorn.com/products/pienso-para-gatos-pollo?variant=43568576463065</t>
  </si>
  <si>
    <t>RET503500</t>
  </si>
  <si>
    <t>RETORN CAT ADULT LIGHT STERILIZED 500 -NEW</t>
  </si>
  <si>
    <t>Esterilizados Light</t>
  </si>
  <si>
    <t>https://retorn.com/products/pienso-para-gatos-esterilizados?variant=43289957662937</t>
  </si>
  <si>
    <t>RET503</t>
  </si>
  <si>
    <t>RETORN CAT ADULT LIGHT STERILIZED 2KG</t>
  </si>
  <si>
    <t>https://retorn.com/products/pienso-para-gatos-esterilizados?variant=42413798064345</t>
  </si>
  <si>
    <t>RET5038</t>
  </si>
  <si>
    <t>RETORN CAT ADULT LIGHT STERILIZED 8 KG</t>
  </si>
  <si>
    <t>https://retorn.com/products/pienso-para-gatos-esterilizados?variant=43568580690137</t>
  </si>
  <si>
    <t>RET500500</t>
  </si>
  <si>
    <t>RETORN CAT KITTEN 500 GR - NEW</t>
  </si>
  <si>
    <t>https://retorn.com/products/pienso-para-gatitos?variant=43290069303513</t>
  </si>
  <si>
    <t>RET500</t>
  </si>
  <si>
    <t>RETORN CAT KITTEN 2KG</t>
  </si>
  <si>
    <t>https://retorn.com/products/pienso-para-gatitos?variant=42413796458713</t>
  </si>
  <si>
    <t>RET5008</t>
  </si>
  <si>
    <t>RETORN CAT KITTEN 8 KG</t>
  </si>
  <si>
    <t>https://retorn.com/products/pienso-para-gatitos?variant=43568572661977</t>
  </si>
  <si>
    <t>80 gr</t>
  </si>
  <si>
    <t>RET4529K</t>
  </si>
  <si>
    <t>RETORN LATAS GATO KITTEN POLLO 80 GR</t>
  </si>
  <si>
    <t>Humedo</t>
  </si>
  <si>
    <t>https://retorn.com/products/comida-humeda-para-gatitos-de-pollo?variant=42037603729625</t>
  </si>
  <si>
    <t>80 gr X 18 ud</t>
  </si>
  <si>
    <t xml:space="preserve">RET4529KC  </t>
  </si>
  <si>
    <t xml:space="preserve">CAJA (18UD) RETORN LATAS GATO KITTEN  POLLO 80 GR    </t>
  </si>
  <si>
    <t>https://retorn.com/products/comida-humeda-para-gatitos-de-pollo?variant=42037603762393</t>
  </si>
  <si>
    <t>80 gr X 24 ud</t>
  </si>
  <si>
    <t xml:space="preserve">CAJA (24UD) RETORN LATAS GATO KITTEN  POLLO 80 GR    </t>
  </si>
  <si>
    <t>https://retorn.com/products/comida-humeda-para-gatitos-de-pollo?variant=49479598047571</t>
  </si>
  <si>
    <t>RET4529</t>
  </si>
  <si>
    <t>RETORN LATAS GATO POLLO 80 GR</t>
  </si>
  <si>
    <t>Pollo</t>
  </si>
  <si>
    <t>https://retorn.com/products/comida-humeda-para-gatos-pollo?variant=12632988188738</t>
  </si>
  <si>
    <t>RET4529C</t>
  </si>
  <si>
    <t>CAJA (18UD) RETORN LATAS GATO POLLO 80 GR</t>
  </si>
  <si>
    <t>https://retorn.com/products/comida-humeda-para-gatos-pollo?variant=14243705159746</t>
  </si>
  <si>
    <t>RET4529C24</t>
  </si>
  <si>
    <t>CAJA (24UD) RETORN LATAS GATO POLLO 80 GR</t>
  </si>
  <si>
    <t>https://retorn.com/products/comida-humeda-para-gatos-pollo?variant=49139872891219</t>
  </si>
  <si>
    <t>RET4530</t>
  </si>
  <si>
    <t>RETORN LATAS GATO POLLO CON CONEJO 80 GR</t>
  </si>
  <si>
    <t>Pollo Conejo</t>
  </si>
  <si>
    <t>https://retorn.com/products/comida-humeda-para-gatos-pollo-conejo?variant=12633061228610</t>
  </si>
  <si>
    <t>RET4530C</t>
  </si>
  <si>
    <t>CAJA (18UD) RETORN LATAS GATO POLLO CON CONEJO 80 GR</t>
  </si>
  <si>
    <t>https://retorn.com/products/comida-humeda-para-gatos-pollo-conejo?variant=14243707453506</t>
  </si>
  <si>
    <t>RET4530C24</t>
  </si>
  <si>
    <t>CAJA (24UD) RETORN LATAS GATO POLLO CON CONEJO 80 GR</t>
  </si>
  <si>
    <t>https://retorn.com/products/comida-humeda-para-gatos-pollo-conejo?variant=49139879051603</t>
  </si>
  <si>
    <t>RET4535</t>
  </si>
  <si>
    <t>RETORN LATAS GATO ATUN CON MEJILLONES 80 GR</t>
  </si>
  <si>
    <t>Mejillones</t>
  </si>
  <si>
    <t>https://retorn.com/products/comida-humeda-para-gatos-atun-mejillones?variant=14243686580290</t>
  </si>
  <si>
    <t>RET4535C</t>
  </si>
  <si>
    <t>CAJA (18UD) RETORN LATAS GATO ATUN CON MEJILLONES 80 GR</t>
  </si>
  <si>
    <t>RET4535C24</t>
  </si>
  <si>
    <t>CAJA (24UD) RETORN LATAS GATO ATUN CON MEJILLONES 80 GR</t>
  </si>
  <si>
    <t>https://retorn.com/products/comida-humeda-para-gatos-atun-mejillones?variant=49139897893203</t>
  </si>
  <si>
    <t>RET4536</t>
  </si>
  <si>
    <t>RETORN LATAS GATO ATUN CON SARDINA 80 GR</t>
  </si>
  <si>
    <t>Sardina</t>
  </si>
  <si>
    <t>https://retorn.com/products/comida-humeda-gatos-atun-sardina?variant=12633132662850</t>
  </si>
  <si>
    <t>RET4536C</t>
  </si>
  <si>
    <t>CAJA (18UD) RETORN LATAS GATO ATUN CON SARDINA 80 GR</t>
  </si>
  <si>
    <t>https://retorn.com/products/comida-humeda-gatos-atun-sardina?variant=14243698737218</t>
  </si>
  <si>
    <t>RET4536C24</t>
  </si>
  <si>
    <t>CAJA (24UD) RETORN LATAS GATO ATUN CON SARDINA 80 GR</t>
  </si>
  <si>
    <t>https://retorn.com/products/comida-humeda-gatos-atun-sardina?variant=49139894681939</t>
  </si>
  <si>
    <t>RET4537</t>
  </si>
  <si>
    <t>RETORN LATAS GATO ATUN CON SALMON 80 GR</t>
  </si>
  <si>
    <t>Salmón</t>
  </si>
  <si>
    <t>https://retorn.com/products/comida-humeda-gatos-atun-salmon?variant=12633123782722</t>
  </si>
  <si>
    <t>RET4537C24</t>
  </si>
  <si>
    <t>CAJA (24UD) RETORN LATAS GATO ATUN CON SALMON 80 GR</t>
  </si>
  <si>
    <t>https://retorn.com/products/comida-humeda-gatos-atun-salmon?variant=48154989461843</t>
  </si>
  <si>
    <t>RET4538</t>
  </si>
  <si>
    <t>RETORN LATAS GATO ATUN CON GAMBAS 80 GR</t>
  </si>
  <si>
    <t>Gambas</t>
  </si>
  <si>
    <t>https://retorn.com/products/comida-humeda-para-gatos-atun-gambas?variant=14092976554050</t>
  </si>
  <si>
    <t>RET4538C</t>
  </si>
  <si>
    <t>CAJA (18UD) RETORN LATAS GATO ATUN CON GAMBAS 80 GR</t>
  </si>
  <si>
    <t>https://retorn.com/products/comida-humeda-para-gatos-atun-gambas?variant=14242700132418</t>
  </si>
  <si>
    <t>RET4538C24</t>
  </si>
  <si>
    <t>CAJA (24UD) RETORN LATAS GATO ATUN CON GAMBAS 80 GR</t>
  </si>
  <si>
    <t>https://retorn.com/products/comida-humeda-para-gatos-atun-gambas?variant=48155011350867</t>
  </si>
  <si>
    <t>185 gr</t>
  </si>
  <si>
    <t>RETORN LATAS PERRO CORDERO CON ARROZ 185 GR</t>
  </si>
  <si>
    <t>Cordero Arroz</t>
  </si>
  <si>
    <t>https://retorn.com/products/comida-humeda-perros-cordero-arroz?variant=12632940478530</t>
  </si>
  <si>
    <t>185 gr x 12ud</t>
  </si>
  <si>
    <t>RET479801E</t>
  </si>
  <si>
    <t>https://retorn.com/products/comida-humeda-perros-cordero-arroz?variant=14250706075714</t>
  </si>
  <si>
    <t>400 gr</t>
  </si>
  <si>
    <t>RETORN LATAS PERRO CORDERO CON ARROZ 400 GR</t>
  </si>
  <si>
    <t>https://retorn.com/products/comida-humeda-perros-cordero-arroz?variant=14102309306434</t>
  </si>
  <si>
    <t>400 gr x 12ud</t>
  </si>
  <si>
    <t>RET4798014E</t>
  </si>
  <si>
    <t>https://retorn.com/products/comida-humeda-perros-cordero-arroz?variant=14250709057602</t>
  </si>
  <si>
    <t>RETORN LATAS PERRO ONLY CORDERO 185 GR</t>
  </si>
  <si>
    <t>Only Cordero</t>
  </si>
  <si>
    <t>https://retorn.com/products/comida-humeda-perros-only-cordero?variant=13839214772290</t>
  </si>
  <si>
    <t>RET479805E</t>
  </si>
  <si>
    <t>https://retorn.com/products/comida-humeda-perros-only-cordero?variant=14250754048066</t>
  </si>
  <si>
    <t>RETORN LATAS PERRO ONLY CORDERO 400 GR</t>
  </si>
  <si>
    <t>https://retorn.com/products/comida-humeda-perros-only-cordero?variant=15962371194946</t>
  </si>
  <si>
    <t>RET4798054</t>
  </si>
  <si>
    <t>https://retorn.com/products/comida-humeda-perros-only-cordero?variant=15982942421058</t>
  </si>
  <si>
    <t>RETORN LATAS PERRO POLLO CON ZANAHORIAS 185 GR</t>
  </si>
  <si>
    <t>Pollo Zanahoria</t>
  </si>
  <si>
    <t>https://retorn.com/products/comida-humeda-perros-pollo-zanahorias?variant=37988511940791</t>
  </si>
  <si>
    <t>RET479803E</t>
  </si>
  <si>
    <t>https://retorn.com/products/comida-humeda-perros-pollo-zanahorias?variant=37988515152055</t>
  </si>
  <si>
    <t>RETORN LATAS PERRO POLLO CON ZANAHORIAS 400 GR</t>
  </si>
  <si>
    <t>https://retorn.com/products/comida-humeda-perros-pollo-zanahorias?variant=14102317400130</t>
  </si>
  <si>
    <t>RET4798034E</t>
  </si>
  <si>
    <t>https://retorn.com/products/comida-humeda-perros-pollo-zanahorias?variant=14250742546498</t>
  </si>
  <si>
    <t>RETORN LATAS PERRO ONLY POLLO 185 GR</t>
  </si>
  <si>
    <t>Only Pollo</t>
  </si>
  <si>
    <t>https://retorn.com/products/comida-humeda-perros-only-pollo?variant=13837300170818</t>
  </si>
  <si>
    <t>RET479806E</t>
  </si>
  <si>
    <t>https://retorn.com/products/comida-humeda-perros-only-pollo?variant=14250757816386</t>
  </si>
  <si>
    <t>RETORN LATAS PERRO ONLY POLLO 400 GR</t>
  </si>
  <si>
    <t>https://retorn.com/products/comida-humeda-perros-only-pollo?variant=14102298001474</t>
  </si>
  <si>
    <t>RET4798064E</t>
  </si>
  <si>
    <t>https://retorn.com/products/comida-humeda-perros-only-pollo?variant=14250760896578</t>
  </si>
  <si>
    <t>RETORN LATAS PERRO PESCADO CON ZANAHORIA 185 GR</t>
  </si>
  <si>
    <t>Pescado Zanahoria</t>
  </si>
  <si>
    <t>https://retorn.com/products/comida-humeda-perros-pescado-zanahorias?variant=14030012350530</t>
  </si>
  <si>
    <t>RET479807E</t>
  </si>
  <si>
    <t>https://retorn.com/products/comida-humeda-perros-pescado-zanahorias?variant=14250733207618</t>
  </si>
  <si>
    <t>RETORN LATAS PERRO PESCADO CON ZANAHORIA 400 GR</t>
  </si>
  <si>
    <t>https://retorn.com/products/comida-humeda-perros-pescado-zanahorias?variant=15982645084226</t>
  </si>
  <si>
    <t>RET4798074</t>
  </si>
  <si>
    <t>https://retorn.com/products/comida-humeda-perros-pescado-zanahorias?variant=15982921744450</t>
  </si>
  <si>
    <t>RETORN LATAS PERRO PESCADO CON PATATAS 185 GR</t>
  </si>
  <si>
    <t>Pescado Patatas</t>
  </si>
  <si>
    <t>https://retorn.com/products/comida-humeda-perros-pescado-patatas?variant=12632863277122</t>
  </si>
  <si>
    <t>RET479802E</t>
  </si>
  <si>
    <t>https://retorn.com/products/comida-humeda-perros-pescado-patatas?variant=14250724851778</t>
  </si>
  <si>
    <t>RETORN LATAS PERRO PUPPY CORDERO Y POLLO 185GR</t>
  </si>
  <si>
    <t>https://retorn.com/products/comida-humeda-para-cachorros?variant=31708495183938</t>
  </si>
  <si>
    <t>RET479808E</t>
  </si>
  <si>
    <t>https://retorn.com/products/comida-humeda-para-cachorros?variant=31708495216706</t>
  </si>
  <si>
    <t>Razas pequeñas</t>
  </si>
  <si>
    <t>Razas Medianas</t>
  </si>
  <si>
    <t>Razas grandes</t>
  </si>
  <si>
    <t>Pomerania (Spitz enano)</t>
  </si>
  <si>
    <t>Scottish terrier</t>
  </si>
  <si>
    <t>Pastor alemán</t>
  </si>
  <si>
    <t>Bichón maltés</t>
  </si>
  <si>
    <t>Basenji</t>
  </si>
  <si>
    <t>Pastor Bergamasco</t>
  </si>
  <si>
    <t>Grifón de Bruselas</t>
  </si>
  <si>
    <t>Cocker spaniel americano</t>
  </si>
  <si>
    <t>Akita Inu</t>
  </si>
  <si>
    <t>Chihuahua</t>
  </si>
  <si>
    <t>Terrier irlandés</t>
  </si>
  <si>
    <t>Alaskan malamute</t>
  </si>
  <si>
    <t>Toy spaniel inglés</t>
  </si>
  <si>
    <t>Spitz alemán Estándar</t>
  </si>
  <si>
    <t>Pastor de Brie</t>
  </si>
  <si>
    <t>Yorkshire terrier</t>
  </si>
  <si>
    <t>Spitz finlandés</t>
  </si>
  <si>
    <t>Retriever de pelo liso</t>
  </si>
  <si>
    <t>Silky terrier (australiano)</t>
  </si>
  <si>
    <t>Grifón vendeano</t>
  </si>
  <si>
    <t>Boyero de Flandes</t>
  </si>
  <si>
    <t>Pequinés</t>
  </si>
  <si>
    <t>Skye terrier</t>
  </si>
  <si>
    <t>Leonberger</t>
  </si>
  <si>
    <t>Pinscher</t>
  </si>
  <si>
    <t>Beagle</t>
  </si>
  <si>
    <t>Dogo de Burdeos (mediano)</t>
  </si>
  <si>
    <t>Shih Tzu</t>
  </si>
  <si>
    <t>Saluki</t>
  </si>
  <si>
    <t>Rottweiler</t>
  </si>
  <si>
    <t>Bichón frisé</t>
  </si>
  <si>
    <t>Whippet</t>
  </si>
  <si>
    <t>Fila brasileño</t>
  </si>
  <si>
    <t>Bull terrier miniatura</t>
  </si>
  <si>
    <t>Border collie</t>
  </si>
  <si>
    <t>Galgo ruso (Borzoi)</t>
  </si>
  <si>
    <t>Dachshund Miniatura</t>
  </si>
  <si>
    <t>Spaniel bretón</t>
  </si>
  <si>
    <t>Kuvasz</t>
  </si>
  <si>
    <t>Pincher miniatura</t>
  </si>
  <si>
    <t>Puli</t>
  </si>
  <si>
    <t>Boyero de Berna</t>
  </si>
  <si>
    <t>Cavaller King Charles spaniel</t>
  </si>
  <si>
    <t>Cocker spaniel inglés</t>
  </si>
  <si>
    <t>Mastín del Alentejo</t>
  </si>
  <si>
    <t>Poodle Miniatura</t>
  </si>
  <si>
    <t>Schnauzer Mediano</t>
  </si>
  <si>
    <t>Perro de montaña de los Pirineos</t>
  </si>
  <si>
    <t>Schnauzer Miniatura</t>
  </si>
  <si>
    <t>Staffordshire bull terrier</t>
  </si>
  <si>
    <t>Bloodhound</t>
  </si>
  <si>
    <t>Coton de Tulear</t>
  </si>
  <si>
    <t>Welsh corgi Cardigan</t>
  </si>
  <si>
    <t>Komondor</t>
  </si>
  <si>
    <t>Cairn terrier</t>
  </si>
  <si>
    <t>Springer spaniel galés</t>
  </si>
  <si>
    <t>Mastín español</t>
  </si>
  <si>
    <t>Border terrier</t>
  </si>
  <si>
    <t>Sussex spaniel</t>
  </si>
  <si>
    <t>Mastín napolitano</t>
  </si>
  <si>
    <t>Lhasa Apso</t>
  </si>
  <si>
    <t>Basset hound</t>
  </si>
  <si>
    <t>San Bernardo</t>
  </si>
  <si>
    <t>Carlino</t>
  </si>
  <si>
    <t>Bearded collie</t>
  </si>
  <si>
    <t>Dogo de Burdeos</t>
  </si>
  <si>
    <t>Terrier australiano</t>
  </si>
  <si>
    <t>Braco de Saint Germain</t>
  </si>
  <si>
    <t>Bullmstiff</t>
  </si>
  <si>
    <t>West Highland white terrier</t>
  </si>
  <si>
    <t>Perro de agua americano</t>
  </si>
  <si>
    <t>Gran Danés</t>
  </si>
  <si>
    <t>Fox terrier</t>
  </si>
  <si>
    <t>Setter inglés</t>
  </si>
  <si>
    <t>Mastín del Pirineo</t>
  </si>
  <si>
    <t>Bedlington terrier</t>
  </si>
  <si>
    <t>Shar-pei</t>
  </si>
  <si>
    <t>Terranova</t>
  </si>
  <si>
    <t>Bulldog francés</t>
  </si>
  <si>
    <t>Springer spaniel inglés</t>
  </si>
  <si>
    <t>Dogo de Burdeos (grande)</t>
  </si>
  <si>
    <t>Dandie Dinmont terrier</t>
  </si>
  <si>
    <t>Airedale terrier</t>
  </si>
  <si>
    <t>Mastín inglés</t>
  </si>
  <si>
    <t>Boston terrier</t>
  </si>
  <si>
    <t>Braco húngaro / Vizsla</t>
  </si>
  <si>
    <t>Mestizo de raza grande</t>
  </si>
  <si>
    <t>Terrier galés (Welsh)</t>
  </si>
  <si>
    <t>Chow Chow</t>
  </si>
  <si>
    <t>Mestizo de raza pequeña</t>
  </si>
  <si>
    <t>Perdiguero alemán</t>
  </si>
  <si>
    <t>Podenco ibicenco</t>
  </si>
  <si>
    <t>Husky siberiano</t>
  </si>
  <si>
    <t>Dálmata</t>
  </si>
  <si>
    <t>Bulldog</t>
  </si>
  <si>
    <t>Galgo afgano</t>
  </si>
  <si>
    <t>Grifón de pelo duro</t>
  </si>
  <si>
    <t>Perro de agua portugués</t>
  </si>
  <si>
    <t>Bull terrier</t>
  </si>
  <si>
    <t>Boxer</t>
  </si>
  <si>
    <t>Bobtail</t>
  </si>
  <si>
    <t>Samoyedo</t>
  </si>
  <si>
    <t>Braco francés</t>
  </si>
  <si>
    <t>Galgo español</t>
  </si>
  <si>
    <t>Pointer alemán</t>
  </si>
  <si>
    <t>Setter irlandés</t>
  </si>
  <si>
    <t>Pastor belga</t>
  </si>
  <si>
    <t>Dobermann</t>
  </si>
  <si>
    <t>Foxhound Inglés</t>
  </si>
  <si>
    <t>Galgo inglés</t>
  </si>
  <si>
    <t>Golden retriever</t>
  </si>
  <si>
    <t>Pointer</t>
  </si>
  <si>
    <t>Beauceron</t>
  </si>
  <si>
    <t>Collie</t>
  </si>
  <si>
    <t>Pastor catalán</t>
  </si>
  <si>
    <t>Schnauzer Gigante</t>
  </si>
  <si>
    <t>Chesapeake Bay retriever</t>
  </si>
  <si>
    <t>Clumber spaniel</t>
  </si>
  <si>
    <t>Gordon setter</t>
  </si>
  <si>
    <t>Labrador retriever</t>
  </si>
  <si>
    <t>Mestizo de raza mediana</t>
  </si>
  <si>
    <t>Formula Final Perros</t>
  </si>
  <si>
    <t>Valores</t>
  </si>
  <si>
    <t>SECO</t>
  </si>
  <si>
    <t>MIXTO g/dia</t>
  </si>
  <si>
    <t>Producto</t>
  </si>
  <si>
    <t>Kcal Necesarias / Día</t>
  </si>
  <si>
    <t>Gr Producto / día / Seco</t>
  </si>
  <si>
    <t>SECO 75%</t>
  </si>
  <si>
    <t>HÚMEDO 25%</t>
  </si>
  <si>
    <t>Puppy + PUPPY</t>
  </si>
  <si>
    <t>Cordero + CORDERO ARROZ</t>
  </si>
  <si>
    <t>Pollo + POLLO ZANAHORIA</t>
  </si>
  <si>
    <t>Salmón + PESCADO ZANAHORIA</t>
  </si>
  <si>
    <t>Light + PESCADO ZANAHORIA</t>
  </si>
  <si>
    <t>Formula Final Gatos</t>
  </si>
  <si>
    <t>Gr Producto / día</t>
  </si>
  <si>
    <t>HUMEDO 25% segons sabor</t>
  </si>
  <si>
    <t>Pollo + POLLO CON CONEJO</t>
  </si>
  <si>
    <t>Pescado + ATÚN CON GAMBAS</t>
  </si>
  <si>
    <t>Esterilizado + POLLO</t>
  </si>
  <si>
    <t>Kitten + KITTEN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</si>
</sst>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_€_-;\-* #,##0.00\ _€_-;_-* &quot;-&quot;??\ _€_-;_-@"/>
  </numFmts>
  <fonts count="2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980000"/>
      <name val="Arial"/>
    </font>
    <font>
      <sz val="12.0"/>
      <color theme="1"/>
      <name val="Arial"/>
    </font>
    <font>
      <sz val="11.0"/>
      <color theme="1"/>
      <name val="Calibri"/>
    </font>
    <font>
      <b/>
      <sz val="10.0"/>
      <color rgb="FF9900FF"/>
      <name val="Arial"/>
    </font>
    <font>
      <sz val="10.0"/>
      <color rgb="FF434343"/>
      <name val="Arial"/>
    </font>
    <font>
      <color theme="1"/>
      <name val="Calibri"/>
      <scheme val="minor"/>
    </font>
    <font>
      <sz val="11.0"/>
      <color theme="1"/>
      <name val="Arial"/>
    </font>
    <font>
      <b/>
      <sz val="10.0"/>
      <color rgb="FF434343"/>
      <name val="Arial"/>
    </font>
    <font>
      <b/>
      <sz val="10.0"/>
      <color rgb="FFFF00FF"/>
      <name val="Arial"/>
    </font>
    <font>
      <b/>
      <sz val="10.0"/>
      <color rgb="FF980000"/>
      <name val="Arial"/>
    </font>
    <font>
      <b/>
      <sz val="10.0"/>
      <color rgb="FF0000FF"/>
      <name val="Arial"/>
    </font>
    <font>
      <b/>
      <color theme="1"/>
      <name val="Calibri"/>
      <scheme val="minor"/>
    </font>
    <font>
      <b/>
      <sz val="10.0"/>
      <color theme="0"/>
      <name val="Arial"/>
    </font>
    <font>
      <sz val="10.0"/>
      <color theme="0"/>
      <name val="Arial"/>
    </font>
    <font>
      <b/>
      <sz val="12.0"/>
      <color rgb="FF9900FF"/>
      <name val="Arial"/>
    </font>
    <font>
      <b/>
      <sz val="10.0"/>
      <color rgb="FF45818E"/>
      <name val="Arial"/>
    </font>
    <font>
      <u/>
      <color rgb="FF0563C1"/>
    </font>
    <font>
      <u/>
      <color rgb="FF0000FF"/>
    </font>
    <font>
      <u/>
      <color rgb="FF0000FF"/>
    </font>
    <font>
      <b/>
      <sz val="11.0"/>
      <color theme="1"/>
      <name val="Calibri"/>
    </font>
    <font/>
    <font>
      <b/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7030A0"/>
        <bgColor rgb="FF7030A0"/>
      </patternFill>
    </fill>
    <fill>
      <patternFill patternType="solid">
        <fgColor rgb="FFFF9900"/>
        <bgColor rgb="FFFF9900"/>
      </patternFill>
    </fill>
  </fills>
  <borders count="8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1" fillId="3" fontId="3" numFmtId="0" xfId="0" applyAlignment="1" applyBorder="1" applyFill="1" applyFont="1">
      <alignment readingOrder="0" vertical="center"/>
    </xf>
    <xf borderId="1" fillId="3" fontId="2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vertical="center"/>
    </xf>
    <xf borderId="2" fillId="3" fontId="5" numFmtId="0" xfId="0" applyBorder="1" applyFont="1"/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6" numFmtId="0" xfId="0" applyAlignment="1" applyBorder="1" applyFont="1">
      <alignment horizontal="right" shrinkToFit="0" wrapText="1"/>
    </xf>
    <xf borderId="1" fillId="0" fontId="7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0" fillId="0" fontId="5" numFmtId="164" xfId="0" applyFont="1" applyNumberFormat="1"/>
    <xf borderId="0" fillId="0" fontId="8" numFmtId="0" xfId="0" applyAlignment="1" applyFont="1">
      <alignment readingOrder="0"/>
    </xf>
    <xf borderId="3" fillId="0" fontId="5" numFmtId="2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right" shrinkToFit="0" wrapText="1"/>
    </xf>
    <xf borderId="1" fillId="0" fontId="10" numFmtId="0" xfId="0" applyAlignment="1" applyBorder="1" applyFont="1">
      <alignment shrinkToFit="0" wrapText="1"/>
    </xf>
    <xf borderId="1" fillId="4" fontId="11" numFmtId="0" xfId="0" applyAlignment="1" applyBorder="1" applyFill="1" applyFont="1">
      <alignment horizontal="right" shrinkToFit="0" wrapText="1"/>
    </xf>
    <xf borderId="1" fillId="4" fontId="12" numFmtId="0" xfId="0" applyAlignment="1" applyBorder="1" applyFont="1">
      <alignment horizontal="right" shrinkToFit="0" wrapText="1"/>
    </xf>
    <xf borderId="1" fillId="4" fontId="13" numFmtId="0" xfId="0" applyAlignment="1" applyBorder="1" applyFont="1">
      <alignment horizontal="right" shrinkToFit="0" wrapText="1"/>
    </xf>
    <xf borderId="0" fillId="0" fontId="14" numFmtId="0" xfId="0" applyAlignment="1" applyFont="1">
      <alignment readingOrder="0"/>
    </xf>
    <xf borderId="1" fillId="5" fontId="15" numFmtId="0" xfId="0" applyAlignment="1" applyBorder="1" applyFill="1" applyFont="1">
      <alignment shrinkToFit="0" wrapText="1"/>
    </xf>
    <xf borderId="1" fillId="5" fontId="16" numFmtId="0" xfId="0" applyAlignment="1" applyBorder="1" applyFont="1">
      <alignment shrinkToFit="0" wrapText="1"/>
    </xf>
    <xf borderId="1" fillId="0" fontId="1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4" fontId="2" numFmtId="0" xfId="0" applyAlignment="1" applyBorder="1" applyFont="1">
      <alignment shrinkToFit="0" wrapText="1"/>
    </xf>
    <xf borderId="1" fillId="0" fontId="18" numFmtId="0" xfId="0" applyAlignment="1" applyBorder="1" applyFont="1">
      <alignment horizontal="right" shrinkToFit="0" wrapText="1"/>
    </xf>
    <xf borderId="1" fillId="4" fontId="9" numFmtId="0" xfId="0" applyAlignment="1" applyBorder="1" applyFont="1">
      <alignment horizontal="right" shrinkToFit="0" wrapText="1"/>
    </xf>
    <xf borderId="3" fillId="0" fontId="14" numFmtId="0" xfId="0" applyAlignment="1" applyBorder="1" applyFont="1">
      <alignment readingOrder="0"/>
    </xf>
    <xf borderId="4" fillId="0" fontId="1" numFmtId="0" xfId="0" applyAlignment="1" applyBorder="1" applyFont="1">
      <alignment shrinkToFit="0" wrapText="1"/>
    </xf>
    <xf borderId="3" fillId="0" fontId="8" numFmtId="0" xfId="0" applyAlignment="1" applyBorder="1" applyFont="1">
      <alignment readingOrder="0"/>
    </xf>
    <xf borderId="4" fillId="0" fontId="2" numFmtId="0" xfId="0" applyAlignment="1" applyBorder="1" applyFont="1">
      <alignment horizontal="right" shrinkToFit="0" wrapText="1"/>
    </xf>
    <xf borderId="0" fillId="0" fontId="19" numFmtId="0" xfId="0" applyAlignment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4" fillId="0" fontId="2" numFmtId="0" xfId="0" applyAlignment="1" applyBorder="1" applyFont="1">
      <alignment horizontal="right" readingOrder="0" shrinkToFit="0" wrapText="1"/>
    </xf>
    <xf borderId="1" fillId="0" fontId="2" numFmtId="0" xfId="0" applyAlignment="1" applyBorder="1" applyFont="1">
      <alignment vertical="center"/>
    </xf>
    <xf borderId="1" fillId="6" fontId="2" numFmtId="0" xfId="0" applyAlignment="1" applyBorder="1" applyFill="1" applyFont="1">
      <alignment shrinkToFit="0" wrapText="1"/>
    </xf>
    <xf borderId="5" fillId="2" fontId="22" numFmtId="0" xfId="0" applyAlignment="1" applyBorder="1" applyFont="1">
      <alignment horizontal="center"/>
    </xf>
    <xf borderId="6" fillId="0" fontId="23" numFmtId="0" xfId="0" applyBorder="1" applyFont="1"/>
    <xf borderId="7" fillId="0" fontId="23" numFmtId="0" xfId="0" applyBorder="1" applyFont="1"/>
    <xf borderId="5" fillId="0" fontId="5" numFmtId="0" xfId="0" applyAlignment="1" applyBorder="1" applyFont="1">
      <alignment horizontal="center"/>
    </xf>
    <xf borderId="3" fillId="0" fontId="5" numFmtId="0" xfId="0" applyBorder="1" applyFont="1"/>
    <xf borderId="3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left" vertical="top"/>
    </xf>
    <xf borderId="5" fillId="0" fontId="5" numFmtId="1" xfId="0" applyAlignment="1" applyBorder="1" applyFont="1" applyNumberFormat="1">
      <alignment horizontal="center"/>
    </xf>
    <xf borderId="3" fillId="0" fontId="5" numFmtId="1" xfId="0" applyAlignment="1" applyBorder="1" applyFont="1" applyNumberFormat="1">
      <alignment horizontal="left" vertical="top"/>
    </xf>
    <xf borderId="5" fillId="5" fontId="24" numFmtId="0" xfId="0" applyAlignment="1" applyBorder="1" applyFont="1">
      <alignment horizontal="center"/>
    </xf>
    <xf borderId="3" fillId="0" fontId="5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etorn.com/products/pienso-para-gatitos?variant=42413796458713" TargetMode="External"/><Relationship Id="rId84" Type="http://schemas.openxmlformats.org/officeDocument/2006/relationships/hyperlink" Target="https://retorn.com/products/comida-humeda-para-cachorros?variant=31708495183938" TargetMode="External"/><Relationship Id="rId83" Type="http://schemas.openxmlformats.org/officeDocument/2006/relationships/hyperlink" Target="https://retorn.com/products/comida-humeda-perros-pescado-patatas?variant=14250724851778" TargetMode="External"/><Relationship Id="rId42" Type="http://schemas.openxmlformats.org/officeDocument/2006/relationships/hyperlink" Target="https://retorn.com/products/comida-humeda-para-gatitos-de-pollo?variant=42037603729625" TargetMode="External"/><Relationship Id="rId86" Type="http://schemas.openxmlformats.org/officeDocument/2006/relationships/drawing" Target="../drawings/drawing3.xml"/><Relationship Id="rId41" Type="http://schemas.openxmlformats.org/officeDocument/2006/relationships/hyperlink" Target="https://retorn.com/products/pienso-para-gatitos?variant=43568572661977" TargetMode="External"/><Relationship Id="rId85" Type="http://schemas.openxmlformats.org/officeDocument/2006/relationships/hyperlink" Target="https://retorn.com/products/comida-humeda-para-cachorros?variant=31708495216706" TargetMode="External"/><Relationship Id="rId44" Type="http://schemas.openxmlformats.org/officeDocument/2006/relationships/hyperlink" Target="https://retorn.com/products/comida-humeda-para-gatitos-de-pollo?variant=49479598047571" TargetMode="External"/><Relationship Id="rId43" Type="http://schemas.openxmlformats.org/officeDocument/2006/relationships/hyperlink" Target="https://retorn.com/products/comida-humeda-para-gatitos-de-pollo?variant=42037603762393" TargetMode="External"/><Relationship Id="rId46" Type="http://schemas.openxmlformats.org/officeDocument/2006/relationships/hyperlink" Target="https://retorn.com/products/comida-humeda-para-gatos-pollo?variant=14243705159746" TargetMode="External"/><Relationship Id="rId45" Type="http://schemas.openxmlformats.org/officeDocument/2006/relationships/hyperlink" Target="https://retorn.com/products/comida-humeda-para-gatos-pollo?variant=12632988188738" TargetMode="External"/><Relationship Id="rId80" Type="http://schemas.openxmlformats.org/officeDocument/2006/relationships/hyperlink" Target="https://retorn.com/products/comida-humeda-perros-pescado-zanahorias?variant=15982645084226" TargetMode="External"/><Relationship Id="rId82" Type="http://schemas.openxmlformats.org/officeDocument/2006/relationships/hyperlink" Target="https://retorn.com/products/comida-humeda-perros-pescado-patatas?variant=12632863277122" TargetMode="External"/><Relationship Id="rId81" Type="http://schemas.openxmlformats.org/officeDocument/2006/relationships/hyperlink" Target="https://retorn.com/products/comida-humeda-perros-pescado-zanahorias?variant=15982921744450" TargetMode="External"/><Relationship Id="rId1" Type="http://schemas.openxmlformats.org/officeDocument/2006/relationships/hyperlink" Target="https://retorn.com/products/pienso-natural-cachorros-salmon?variant=43289910542553" TargetMode="External"/><Relationship Id="rId2" Type="http://schemas.openxmlformats.org/officeDocument/2006/relationships/hyperlink" Target="https://retorn.com/products/pienso-natural-cachorros-salmon?variant=42813746315481" TargetMode="External"/><Relationship Id="rId3" Type="http://schemas.openxmlformats.org/officeDocument/2006/relationships/hyperlink" Target="https://retorn.com/products/pienso-natural-cachorros-salmon?variant=12167525924930" TargetMode="External"/><Relationship Id="rId4" Type="http://schemas.openxmlformats.org/officeDocument/2006/relationships/hyperlink" Target="https://retorn.com/products/pienso-natural-cachorros-salmon?_pos=1&amp;_sid=9414974ed&amp;_ss=r&amp;variant=12167525924930" TargetMode="External"/><Relationship Id="rId9" Type="http://schemas.openxmlformats.org/officeDocument/2006/relationships/hyperlink" Target="https://retorn.com/products/pienso-natural-perros-pollo?variant=43289754370265" TargetMode="External"/><Relationship Id="rId48" Type="http://schemas.openxmlformats.org/officeDocument/2006/relationships/hyperlink" Target="https://retorn.com/products/comida-humeda-para-gatos-pollo-conejo?variant=12633061228610" TargetMode="External"/><Relationship Id="rId47" Type="http://schemas.openxmlformats.org/officeDocument/2006/relationships/hyperlink" Target="https://retorn.com/products/comida-humeda-para-gatos-pollo?variant=49139872891219" TargetMode="External"/><Relationship Id="rId49" Type="http://schemas.openxmlformats.org/officeDocument/2006/relationships/hyperlink" Target="https://retorn.com/products/comida-humeda-para-gatos-pollo-conejo?variant=14243707453506" TargetMode="External"/><Relationship Id="rId5" Type="http://schemas.openxmlformats.org/officeDocument/2006/relationships/hyperlink" Target="https://retorn.com/products/pienso-natural-perros-light?variant=43289889013977" TargetMode="External"/><Relationship Id="rId6" Type="http://schemas.openxmlformats.org/officeDocument/2006/relationships/hyperlink" Target="https://retorn.com/products/pienso-natural-perros-light?variant=12167962591298" TargetMode="External"/><Relationship Id="rId7" Type="http://schemas.openxmlformats.org/officeDocument/2006/relationships/hyperlink" Target="https://retorn.com/products/pienso-natural-perros-light?variant=12167962656834" TargetMode="External"/><Relationship Id="rId8" Type="http://schemas.openxmlformats.org/officeDocument/2006/relationships/hyperlink" Target="https://retorn.com/products/pienso-natural-perros-light?variant=12167962689602" TargetMode="External"/><Relationship Id="rId73" Type="http://schemas.openxmlformats.org/officeDocument/2006/relationships/hyperlink" Target="https://retorn.com/products/comida-humeda-perros-pollo-zanahorias?variant=14250742546498" TargetMode="External"/><Relationship Id="rId72" Type="http://schemas.openxmlformats.org/officeDocument/2006/relationships/hyperlink" Target="https://retorn.com/products/comida-humeda-perros-pollo-zanahorias?variant=14102317400130" TargetMode="External"/><Relationship Id="rId31" Type="http://schemas.openxmlformats.org/officeDocument/2006/relationships/hyperlink" Target="https://retorn.com/products/pienso-para-gatos-pescado?variant=42413789053145" TargetMode="External"/><Relationship Id="rId75" Type="http://schemas.openxmlformats.org/officeDocument/2006/relationships/hyperlink" Target="https://retorn.com/products/comida-humeda-perros-only-pollo?variant=14250757816386" TargetMode="External"/><Relationship Id="rId30" Type="http://schemas.openxmlformats.org/officeDocument/2006/relationships/hyperlink" Target="https://retorn.com/products/pienso-para-gatos-pescado?variant=43289984827609" TargetMode="External"/><Relationship Id="rId74" Type="http://schemas.openxmlformats.org/officeDocument/2006/relationships/hyperlink" Target="https://retorn.com/products/comida-humeda-perros-only-pollo?variant=13837300170818" TargetMode="External"/><Relationship Id="rId33" Type="http://schemas.openxmlformats.org/officeDocument/2006/relationships/hyperlink" Target="https://retorn.com/products/pienso-para-gatos-pollo?variant=43289965068505" TargetMode="External"/><Relationship Id="rId77" Type="http://schemas.openxmlformats.org/officeDocument/2006/relationships/hyperlink" Target="https://retorn.com/products/comida-humeda-perros-only-pollo?variant=14250760896578" TargetMode="External"/><Relationship Id="rId32" Type="http://schemas.openxmlformats.org/officeDocument/2006/relationships/hyperlink" Target="https://retorn.com/products/pienso-para-gatos-pescado?variant=43568574202073" TargetMode="External"/><Relationship Id="rId76" Type="http://schemas.openxmlformats.org/officeDocument/2006/relationships/hyperlink" Target="https://retorn.com/products/comida-humeda-perros-only-pollo?variant=14102298001474" TargetMode="External"/><Relationship Id="rId35" Type="http://schemas.openxmlformats.org/officeDocument/2006/relationships/hyperlink" Target="https://retorn.com/products/pienso-para-gatos-pollo?variant=43568576463065" TargetMode="External"/><Relationship Id="rId79" Type="http://schemas.openxmlformats.org/officeDocument/2006/relationships/hyperlink" Target="https://retorn.com/products/comida-humeda-perros-pescado-zanahorias?variant=14250733207618" TargetMode="External"/><Relationship Id="rId34" Type="http://schemas.openxmlformats.org/officeDocument/2006/relationships/hyperlink" Target="https://retorn.com/products/pienso-para-gatos-pollo?variant=42413796983001" TargetMode="External"/><Relationship Id="rId78" Type="http://schemas.openxmlformats.org/officeDocument/2006/relationships/hyperlink" Target="https://retorn.com/products/comida-humeda-perros-pescado-zanahorias?variant=14030012350530" TargetMode="External"/><Relationship Id="rId71" Type="http://schemas.openxmlformats.org/officeDocument/2006/relationships/hyperlink" Target="https://retorn.com/products/comida-humeda-perros-pollo-zanahorias?variant=37988515152055" TargetMode="External"/><Relationship Id="rId70" Type="http://schemas.openxmlformats.org/officeDocument/2006/relationships/hyperlink" Target="https://retorn.com/products/comida-humeda-perros-pollo-zanahorias?variant=37988511940791" TargetMode="External"/><Relationship Id="rId37" Type="http://schemas.openxmlformats.org/officeDocument/2006/relationships/hyperlink" Target="https://retorn.com/products/pienso-para-gatos-esterilizados?variant=42413798064345" TargetMode="External"/><Relationship Id="rId36" Type="http://schemas.openxmlformats.org/officeDocument/2006/relationships/hyperlink" Target="https://retorn.com/products/pienso-para-gatos-esterilizados?variant=43289957662937" TargetMode="External"/><Relationship Id="rId39" Type="http://schemas.openxmlformats.org/officeDocument/2006/relationships/hyperlink" Target="https://retorn.com/products/pienso-para-gatitos?variant=43290069303513" TargetMode="External"/><Relationship Id="rId38" Type="http://schemas.openxmlformats.org/officeDocument/2006/relationships/hyperlink" Target="https://retorn.com/products/pienso-para-gatos-esterilizados?variant=43568580690137" TargetMode="External"/><Relationship Id="rId62" Type="http://schemas.openxmlformats.org/officeDocument/2006/relationships/hyperlink" Target="https://retorn.com/products/comida-humeda-perros-cordero-arroz?variant=12632940478530" TargetMode="External"/><Relationship Id="rId61" Type="http://schemas.openxmlformats.org/officeDocument/2006/relationships/hyperlink" Target="https://retorn.com/products/comida-humeda-para-gatos-atun-gambas?variant=48155011350867" TargetMode="External"/><Relationship Id="rId20" Type="http://schemas.openxmlformats.org/officeDocument/2006/relationships/hyperlink" Target="https://retorn.com/products/pienso-natural-perros-cordero?variant=43289746309337" TargetMode="External"/><Relationship Id="rId64" Type="http://schemas.openxmlformats.org/officeDocument/2006/relationships/hyperlink" Target="https://retorn.com/products/comida-humeda-perros-cordero-arroz?variant=14102309306434" TargetMode="External"/><Relationship Id="rId63" Type="http://schemas.openxmlformats.org/officeDocument/2006/relationships/hyperlink" Target="https://retorn.com/products/comida-humeda-perros-cordero-arroz?variant=14250706075714" TargetMode="External"/><Relationship Id="rId22" Type="http://schemas.openxmlformats.org/officeDocument/2006/relationships/hyperlink" Target="https://retorn.com/products/pienso-natural-perros-cordero?variant=43161352339673" TargetMode="External"/><Relationship Id="rId66" Type="http://schemas.openxmlformats.org/officeDocument/2006/relationships/hyperlink" Target="https://retorn.com/products/comida-humeda-perros-only-cordero?variant=13839214772290" TargetMode="External"/><Relationship Id="rId21" Type="http://schemas.openxmlformats.org/officeDocument/2006/relationships/hyperlink" Target="https://retorn.com/products/pienso-natural-perros-cordero?variant=42655137530073" TargetMode="External"/><Relationship Id="rId65" Type="http://schemas.openxmlformats.org/officeDocument/2006/relationships/hyperlink" Target="https://retorn.com/products/comida-humeda-perros-cordero-arroz?variant=14250709057602" TargetMode="External"/><Relationship Id="rId24" Type="http://schemas.openxmlformats.org/officeDocument/2006/relationships/hyperlink" Target="https://retorn.com/products/pienso-natural-perros-salmon?variant=42651916140761" TargetMode="External"/><Relationship Id="rId68" Type="http://schemas.openxmlformats.org/officeDocument/2006/relationships/hyperlink" Target="https://retorn.com/products/comida-humeda-perros-only-cordero?variant=15962371194946" TargetMode="External"/><Relationship Id="rId23" Type="http://schemas.openxmlformats.org/officeDocument/2006/relationships/hyperlink" Target="https://retorn.com/products/pienso-natural-perros-salmon?variant=43289875513561" TargetMode="External"/><Relationship Id="rId67" Type="http://schemas.openxmlformats.org/officeDocument/2006/relationships/hyperlink" Target="https://retorn.com/products/comida-humeda-perros-only-cordero?variant=14250754048066" TargetMode="External"/><Relationship Id="rId60" Type="http://schemas.openxmlformats.org/officeDocument/2006/relationships/hyperlink" Target="https://retorn.com/products/comida-humeda-para-gatos-atun-gambas?variant=14242700132418" TargetMode="External"/><Relationship Id="rId26" Type="http://schemas.openxmlformats.org/officeDocument/2006/relationships/hyperlink" Target="https://retorn.com/products/pienso-natural-perros-salmon?variant=42651916206297" TargetMode="External"/><Relationship Id="rId25" Type="http://schemas.openxmlformats.org/officeDocument/2006/relationships/hyperlink" Target="https://retorn.com/products/pienso-natural-perros-salmon?variant=42651916173529" TargetMode="External"/><Relationship Id="rId69" Type="http://schemas.openxmlformats.org/officeDocument/2006/relationships/hyperlink" Target="https://retorn.com/products/comida-humeda-perros-only-cordero?variant=15982942421058" TargetMode="External"/><Relationship Id="rId28" Type="http://schemas.openxmlformats.org/officeDocument/2006/relationships/hyperlink" Target="https://retorn.com/products/pienso-natural-perros-salmon?variant=43387689959641" TargetMode="External"/><Relationship Id="rId27" Type="http://schemas.openxmlformats.org/officeDocument/2006/relationships/hyperlink" Target="https://retorn.com/products/pienso-natural-perros-salmon?variant=43289875480793" TargetMode="External"/><Relationship Id="rId29" Type="http://schemas.openxmlformats.org/officeDocument/2006/relationships/hyperlink" Target="https://retorn.com/products/pienso-natural-perros-salmon?variant=43161301516505" TargetMode="External"/><Relationship Id="rId51" Type="http://schemas.openxmlformats.org/officeDocument/2006/relationships/hyperlink" Target="https://retorn.com/products/comida-humeda-para-gatos-atun-mejillones?variant=14243686580290" TargetMode="External"/><Relationship Id="rId50" Type="http://schemas.openxmlformats.org/officeDocument/2006/relationships/hyperlink" Target="https://retorn.com/products/comida-humeda-para-gatos-pollo-conejo?variant=49139879051603" TargetMode="External"/><Relationship Id="rId53" Type="http://schemas.openxmlformats.org/officeDocument/2006/relationships/hyperlink" Target="https://retorn.com/products/comida-humeda-para-gatos-atun-mejillones?variant=49139897893203" TargetMode="External"/><Relationship Id="rId52" Type="http://schemas.openxmlformats.org/officeDocument/2006/relationships/hyperlink" Target="https://retorn.com/products/comida-humeda-para-gatos-atun-mejillones?variant=14243686580290" TargetMode="External"/><Relationship Id="rId11" Type="http://schemas.openxmlformats.org/officeDocument/2006/relationships/hyperlink" Target="https://retorn.com/products/pienso-natural-perros-pollo?variant=42655252512985" TargetMode="External"/><Relationship Id="rId55" Type="http://schemas.openxmlformats.org/officeDocument/2006/relationships/hyperlink" Target="https://retorn.com/products/comida-humeda-gatos-atun-sardina?variant=14243698737218" TargetMode="External"/><Relationship Id="rId10" Type="http://schemas.openxmlformats.org/officeDocument/2006/relationships/hyperlink" Target="https://retorn.com/products/pienso-natural-perros-pollo?variant=12167859863618" TargetMode="External"/><Relationship Id="rId54" Type="http://schemas.openxmlformats.org/officeDocument/2006/relationships/hyperlink" Target="https://retorn.com/products/comida-humeda-gatos-atun-sardina?variant=12633132662850" TargetMode="External"/><Relationship Id="rId13" Type="http://schemas.openxmlformats.org/officeDocument/2006/relationships/hyperlink" Target="https://retorn.com/products/pienso-natural-perros-pollo?variant=43289754337497" TargetMode="External"/><Relationship Id="rId57" Type="http://schemas.openxmlformats.org/officeDocument/2006/relationships/hyperlink" Target="https://retorn.com/products/comida-humeda-gatos-atun-salmon?variant=48154989461843" TargetMode="External"/><Relationship Id="rId12" Type="http://schemas.openxmlformats.org/officeDocument/2006/relationships/hyperlink" Target="https://retorn.com/products/pienso-natural-perros-pollo?variant=42655252545753" TargetMode="External"/><Relationship Id="rId56" Type="http://schemas.openxmlformats.org/officeDocument/2006/relationships/hyperlink" Target="https://retorn.com/products/comida-humeda-gatos-atun-sardina?variant=49139894681939" TargetMode="External"/><Relationship Id="rId15" Type="http://schemas.openxmlformats.org/officeDocument/2006/relationships/hyperlink" Target="https://retorn.com/products/pienso-natural-perros-pollo?variant=43161357779161" TargetMode="External"/><Relationship Id="rId59" Type="http://schemas.openxmlformats.org/officeDocument/2006/relationships/hyperlink" Target="https://retorn.com/products/comida-humeda-para-gatos-atun-gambas?variant=14092976554050" TargetMode="External"/><Relationship Id="rId14" Type="http://schemas.openxmlformats.org/officeDocument/2006/relationships/hyperlink" Target="https://retorn.com/products/pienso-natural-perros-pollo?variant=42173524246745" TargetMode="External"/><Relationship Id="rId58" Type="http://schemas.openxmlformats.org/officeDocument/2006/relationships/hyperlink" Target="https://retorn.com/products/comida-humeda-gatos-atun-salmon?variant=48154989461843" TargetMode="External"/><Relationship Id="rId17" Type="http://schemas.openxmlformats.org/officeDocument/2006/relationships/hyperlink" Target="https://retorn.com/products/pienso-natural-perros-cordero?variant=42655137169625" TargetMode="External"/><Relationship Id="rId16" Type="http://schemas.openxmlformats.org/officeDocument/2006/relationships/hyperlink" Target="https://retorn.com/products/pienso-natural-perros-cordero?variant=43289746342105" TargetMode="External"/><Relationship Id="rId19" Type="http://schemas.openxmlformats.org/officeDocument/2006/relationships/hyperlink" Target="https://retorn.com/products/pienso-natural-perros-cordero?variant=42655137300697" TargetMode="External"/><Relationship Id="rId18" Type="http://schemas.openxmlformats.org/officeDocument/2006/relationships/hyperlink" Target="https://retorn.com/products/pienso-natural-perros-cordero?variant=4265513726792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43"/>
    <col customWidth="1" min="2" max="2" width="39.14"/>
    <col customWidth="1" min="3" max="3" width="60.0"/>
    <col customWidth="1" min="4" max="4" width="51.71"/>
    <col customWidth="1" min="5" max="26" width="10.71"/>
  </cols>
  <sheetData>
    <row r="5">
      <c r="B5" s="1" t="s">
        <v>0</v>
      </c>
      <c r="C5" s="2"/>
      <c r="D5" s="1" t="s">
        <v>1</v>
      </c>
    </row>
    <row r="6">
      <c r="B6" s="3" t="s">
        <v>2</v>
      </c>
      <c r="C6" s="4"/>
      <c r="D6" s="5" t="s">
        <v>3</v>
      </c>
    </row>
    <row r="7">
      <c r="B7" s="6"/>
      <c r="C7" s="4"/>
      <c r="D7" s="7"/>
    </row>
    <row r="8">
      <c r="B8" s="7"/>
      <c r="C8" s="7"/>
      <c r="D8" s="7"/>
    </row>
    <row r="9">
      <c r="B9" s="7"/>
      <c r="C9" s="7"/>
      <c r="D9" s="7"/>
    </row>
    <row r="10">
      <c r="A10" s="8"/>
      <c r="B10" s="9" t="s">
        <v>4</v>
      </c>
      <c r="C10" s="10" t="s">
        <v>5</v>
      </c>
      <c r="D10" s="7"/>
    </row>
    <row r="11">
      <c r="A11" s="11"/>
      <c r="B11" s="11" t="s">
        <v>6</v>
      </c>
      <c r="C11" s="12">
        <v>2.0</v>
      </c>
      <c r="D11" s="7"/>
      <c r="E11" s="13"/>
      <c r="G11" s="14" t="s">
        <v>7</v>
      </c>
      <c r="H11" s="15">
        <f>C33*C38*C17*(C27*C39^0.75)</f>
        <v>2479.352173</v>
      </c>
    </row>
    <row r="12">
      <c r="A12" s="11"/>
      <c r="B12" s="11" t="s">
        <v>8</v>
      </c>
      <c r="C12" s="16">
        <v>1.6</v>
      </c>
      <c r="D12" s="7"/>
      <c r="E12" s="13"/>
    </row>
    <row r="13">
      <c r="A13" s="11"/>
      <c r="B13" s="11" t="s">
        <v>9</v>
      </c>
      <c r="C13" s="16">
        <v>1.2</v>
      </c>
      <c r="D13" s="7"/>
      <c r="E13" s="13"/>
      <c r="G13" s="13"/>
    </row>
    <row r="14">
      <c r="A14" s="11"/>
      <c r="B14" s="11" t="s">
        <v>10</v>
      </c>
      <c r="C14" s="16">
        <v>1.0</v>
      </c>
      <c r="D14" s="7"/>
      <c r="E14" s="13"/>
    </row>
    <row r="15">
      <c r="A15" s="11"/>
      <c r="B15" s="11" t="s">
        <v>11</v>
      </c>
      <c r="C15" s="12">
        <v>2.0</v>
      </c>
      <c r="D15" s="7"/>
      <c r="E15" s="13"/>
    </row>
    <row r="16">
      <c r="A16" s="11"/>
      <c r="B16" s="11" t="s">
        <v>12</v>
      </c>
      <c r="C16" s="12">
        <v>1.6</v>
      </c>
      <c r="D16" s="7"/>
      <c r="E16" s="13"/>
    </row>
    <row r="17">
      <c r="A17" s="11"/>
      <c r="B17" s="11" t="s">
        <v>13</v>
      </c>
      <c r="C17" s="12">
        <v>1.4</v>
      </c>
      <c r="D17" s="7"/>
      <c r="E17" s="13"/>
    </row>
    <row r="18">
      <c r="A18" s="11"/>
      <c r="B18" s="11" t="s">
        <v>14</v>
      </c>
      <c r="C18" s="12">
        <v>1.2</v>
      </c>
      <c r="D18" s="7"/>
      <c r="E18" s="13"/>
    </row>
    <row r="19">
      <c r="A19" s="11"/>
      <c r="B19" s="11" t="s">
        <v>15</v>
      </c>
      <c r="C19" s="12">
        <v>1.0</v>
      </c>
      <c r="D19" s="7"/>
      <c r="E19" s="13"/>
    </row>
    <row r="20">
      <c r="A20" s="11"/>
      <c r="B20" s="11" t="s">
        <v>16</v>
      </c>
      <c r="C20" s="12">
        <v>1.0</v>
      </c>
      <c r="D20" s="7"/>
      <c r="E20" s="13"/>
    </row>
    <row r="21" ht="15.75" customHeight="1">
      <c r="A21" s="11"/>
      <c r="B21" s="11" t="s">
        <v>17</v>
      </c>
      <c r="C21" s="12">
        <v>0.8</v>
      </c>
      <c r="D21" s="7"/>
      <c r="E21" s="13"/>
    </row>
    <row r="22" ht="15.75" customHeight="1">
      <c r="A22" s="11"/>
      <c r="B22" s="11" t="s">
        <v>18</v>
      </c>
      <c r="C22" s="12">
        <v>1.5</v>
      </c>
      <c r="D22" s="7"/>
      <c r="E22" s="13"/>
    </row>
    <row r="23" ht="15.75" customHeight="1">
      <c r="A23" s="11"/>
      <c r="B23" s="7"/>
      <c r="C23" s="7"/>
      <c r="D23" s="7"/>
    </row>
    <row r="24" ht="15.75" customHeight="1">
      <c r="A24" s="11"/>
      <c r="B24" s="17" t="s">
        <v>19</v>
      </c>
      <c r="C24" s="18" t="s">
        <v>20</v>
      </c>
      <c r="D24" s="7"/>
    </row>
    <row r="25" ht="15.75" customHeight="1">
      <c r="A25" s="11"/>
      <c r="B25" s="11" t="s">
        <v>21</v>
      </c>
      <c r="C25" s="12">
        <v>95.0</v>
      </c>
      <c r="D25" s="7"/>
    </row>
    <row r="26" ht="15.75" customHeight="1">
      <c r="A26" s="11"/>
      <c r="B26" s="11" t="s">
        <v>22</v>
      </c>
      <c r="C26" s="12">
        <v>130.0</v>
      </c>
      <c r="D26" s="7"/>
    </row>
    <row r="27" ht="15.75" customHeight="1">
      <c r="A27" s="11"/>
      <c r="B27" s="11" t="s">
        <v>23</v>
      </c>
      <c r="C27" s="12">
        <v>180.0</v>
      </c>
      <c r="D27" s="7"/>
    </row>
    <row r="28" ht="15.75" customHeight="1">
      <c r="A28" s="11"/>
      <c r="B28" s="11" t="s">
        <v>24</v>
      </c>
      <c r="C28" s="12">
        <v>130.0</v>
      </c>
      <c r="D28" s="7"/>
    </row>
    <row r="29" ht="15.75" customHeight="1">
      <c r="A29" s="11"/>
      <c r="B29" s="11" t="s">
        <v>25</v>
      </c>
      <c r="C29" s="12">
        <v>130.0</v>
      </c>
      <c r="D29" s="7"/>
    </row>
    <row r="30" ht="15.75" customHeight="1">
      <c r="A30" s="11"/>
      <c r="B30" s="7"/>
      <c r="C30" s="7"/>
      <c r="D30" s="7"/>
    </row>
    <row r="31" ht="15.75" customHeight="1">
      <c r="A31" s="11"/>
      <c r="B31" s="17" t="s">
        <v>26</v>
      </c>
      <c r="C31" s="19" t="s">
        <v>27</v>
      </c>
      <c r="D31" s="7"/>
    </row>
    <row r="32" ht="15.75" customHeight="1">
      <c r="A32" s="11"/>
      <c r="B32" s="11" t="s">
        <v>28</v>
      </c>
      <c r="C32" s="12">
        <v>0.9</v>
      </c>
      <c r="D32" s="7"/>
    </row>
    <row r="33" ht="15.75" customHeight="1">
      <c r="A33" s="11"/>
      <c r="B33" s="11" t="s">
        <v>29</v>
      </c>
      <c r="C33" s="12">
        <v>1.0</v>
      </c>
      <c r="D33" s="7"/>
    </row>
    <row r="34" ht="15.75" customHeight="1">
      <c r="A34" s="11"/>
      <c r="B34" s="7"/>
      <c r="C34" s="7"/>
      <c r="D34" s="7"/>
    </row>
    <row r="35" ht="15.75" customHeight="1">
      <c r="A35" s="11"/>
      <c r="B35" s="17" t="s">
        <v>30</v>
      </c>
      <c r="C35" s="20" t="s">
        <v>31</v>
      </c>
      <c r="D35" s="7"/>
    </row>
    <row r="36" ht="15.75" customHeight="1">
      <c r="A36" s="11"/>
      <c r="B36" s="11" t="s">
        <v>32</v>
      </c>
      <c r="C36" s="12">
        <v>1.0</v>
      </c>
      <c r="D36" s="7"/>
    </row>
    <row r="37" ht="15.75" customHeight="1">
      <c r="A37" s="11"/>
      <c r="B37" s="11" t="s">
        <v>33</v>
      </c>
      <c r="C37" s="12">
        <v>0.9</v>
      </c>
      <c r="D37" s="7"/>
    </row>
    <row r="38" ht="15.75" customHeight="1">
      <c r="A38" s="11"/>
      <c r="B38" s="11" t="s">
        <v>34</v>
      </c>
      <c r="C38" s="12">
        <v>0.88</v>
      </c>
      <c r="D38" s="7"/>
    </row>
    <row r="39" ht="15.75" customHeight="1">
      <c r="A39" s="11"/>
      <c r="B39" s="21" t="s">
        <v>35</v>
      </c>
      <c r="C39" s="14">
        <v>25.0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5" width="37.86"/>
    <col customWidth="1" min="6" max="26" width="10.71"/>
  </cols>
  <sheetData>
    <row r="5">
      <c r="C5" s="22" t="s">
        <v>0</v>
      </c>
      <c r="D5" s="22" t="s">
        <v>36</v>
      </c>
      <c r="E5" s="23"/>
    </row>
    <row r="6">
      <c r="C6" s="24" t="s">
        <v>37</v>
      </c>
      <c r="D6" s="25" t="s">
        <v>38</v>
      </c>
      <c r="E6" s="7"/>
    </row>
    <row r="7">
      <c r="C7" s="7"/>
      <c r="D7" s="26"/>
      <c r="E7" s="7"/>
    </row>
    <row r="8">
      <c r="C8" s="7"/>
      <c r="D8" s="7"/>
      <c r="E8" s="7"/>
    </row>
    <row r="9">
      <c r="C9" s="7"/>
      <c r="D9" s="7"/>
      <c r="E9" s="7"/>
    </row>
    <row r="10">
      <c r="C10" s="9" t="s">
        <v>39</v>
      </c>
      <c r="D10" s="10" t="s">
        <v>40</v>
      </c>
      <c r="E10" s="27" t="s">
        <v>41</v>
      </c>
    </row>
    <row r="11">
      <c r="C11" s="7" t="s">
        <v>42</v>
      </c>
      <c r="D11" s="12">
        <v>250.0</v>
      </c>
      <c r="E11" s="12">
        <v>1.0</v>
      </c>
      <c r="I11" s="15">
        <f>D16*(2^E16)</f>
        <v>159.1072968</v>
      </c>
    </row>
    <row r="12">
      <c r="C12" s="7" t="s">
        <v>43</v>
      </c>
      <c r="D12" s="12">
        <v>130.0</v>
      </c>
      <c r="E12" s="12">
        <v>1.0</v>
      </c>
    </row>
    <row r="13">
      <c r="C13" s="7" t="s">
        <v>44</v>
      </c>
      <c r="D13" s="12">
        <v>100.0</v>
      </c>
      <c r="E13" s="12">
        <v>1.0</v>
      </c>
    </row>
    <row r="14">
      <c r="C14" s="7" t="s">
        <v>45</v>
      </c>
      <c r="D14" s="12">
        <v>80.0</v>
      </c>
      <c r="E14" s="12">
        <v>1.0</v>
      </c>
    </row>
    <row r="15">
      <c r="C15" s="7" t="s">
        <v>46</v>
      </c>
      <c r="D15" s="12">
        <v>60.0</v>
      </c>
      <c r="E15" s="12">
        <v>1.0</v>
      </c>
    </row>
    <row r="16">
      <c r="C16" s="7" t="s">
        <v>47</v>
      </c>
      <c r="D16" s="28">
        <v>100.0</v>
      </c>
      <c r="E16" s="28">
        <v>0.67</v>
      </c>
    </row>
    <row r="17">
      <c r="C17" s="7" t="s">
        <v>48</v>
      </c>
      <c r="D17" s="28">
        <v>130.0</v>
      </c>
      <c r="E17" s="28">
        <v>0.4</v>
      </c>
    </row>
    <row r="18">
      <c r="C18" s="7" t="s">
        <v>49</v>
      </c>
      <c r="D18" s="28">
        <v>45.0</v>
      </c>
      <c r="E18" s="1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4" width="20.29"/>
    <col customWidth="1" min="5" max="5" width="67.43"/>
    <col customWidth="1" min="6" max="7" width="20.29"/>
    <col customWidth="1" min="8" max="8" width="26.57"/>
    <col customWidth="1" min="9" max="9" width="20.29"/>
    <col customWidth="1" min="10" max="10" width="106.14"/>
    <col customWidth="1" min="11" max="26" width="10.71"/>
  </cols>
  <sheetData>
    <row r="5">
      <c r="A5" s="29" t="s">
        <v>50</v>
      </c>
      <c r="B5" s="30" t="s">
        <v>51</v>
      </c>
      <c r="C5" s="9" t="s">
        <v>52</v>
      </c>
      <c r="D5" s="9" t="s">
        <v>53</v>
      </c>
      <c r="E5" s="9" t="s">
        <v>54</v>
      </c>
      <c r="F5" s="9" t="s">
        <v>55</v>
      </c>
      <c r="G5" s="9" t="s">
        <v>56</v>
      </c>
      <c r="H5" s="9" t="s">
        <v>57</v>
      </c>
      <c r="I5" s="9" t="s">
        <v>58</v>
      </c>
      <c r="J5" s="8" t="s">
        <v>59</v>
      </c>
    </row>
    <row r="6">
      <c r="A6" s="31">
        <v>4.3289910542553E13</v>
      </c>
      <c r="B6" s="32">
        <v>8.436540365361E12</v>
      </c>
      <c r="C6" s="7" t="s">
        <v>60</v>
      </c>
      <c r="D6" s="7" t="s">
        <v>61</v>
      </c>
      <c r="E6" s="7" t="s">
        <v>62</v>
      </c>
      <c r="F6" s="7" t="s">
        <v>63</v>
      </c>
      <c r="G6" s="7" t="s">
        <v>64</v>
      </c>
      <c r="H6" s="7" t="s">
        <v>65</v>
      </c>
      <c r="I6" s="7">
        <v>3451.0</v>
      </c>
      <c r="J6" s="33" t="s">
        <v>66</v>
      </c>
    </row>
    <row r="7">
      <c r="A7" s="31">
        <v>4.2813746315481E13</v>
      </c>
      <c r="B7" s="32">
        <v>8.436540364869E12</v>
      </c>
      <c r="C7" s="7" t="s">
        <v>67</v>
      </c>
      <c r="D7" s="7" t="s">
        <v>68</v>
      </c>
      <c r="E7" s="7" t="s">
        <v>69</v>
      </c>
      <c r="F7" s="7" t="s">
        <v>63</v>
      </c>
      <c r="G7" s="7" t="s">
        <v>64</v>
      </c>
      <c r="H7" s="7" t="s">
        <v>65</v>
      </c>
      <c r="I7" s="7">
        <v>3451.0</v>
      </c>
      <c r="J7" s="33" t="s">
        <v>70</v>
      </c>
    </row>
    <row r="8">
      <c r="A8" s="31">
        <v>1.216752592493E13</v>
      </c>
      <c r="B8" s="32">
        <v>8.436540360533E12</v>
      </c>
      <c r="C8" s="7" t="s">
        <v>71</v>
      </c>
      <c r="D8" s="7" t="s">
        <v>72</v>
      </c>
      <c r="E8" s="7" t="s">
        <v>73</v>
      </c>
      <c r="F8" s="7" t="s">
        <v>63</v>
      </c>
      <c r="G8" s="7" t="s">
        <v>64</v>
      </c>
      <c r="H8" s="7" t="s">
        <v>65</v>
      </c>
      <c r="I8" s="7">
        <v>3451.0</v>
      </c>
      <c r="J8" s="33" t="s">
        <v>74</v>
      </c>
    </row>
    <row r="9">
      <c r="A9" s="31">
        <v>1.216752592493E13</v>
      </c>
      <c r="B9" s="32">
        <v>8.43654036054E12</v>
      </c>
      <c r="C9" s="7" t="s">
        <v>75</v>
      </c>
      <c r="D9" s="7" t="s">
        <v>76</v>
      </c>
      <c r="E9" s="7" t="s">
        <v>77</v>
      </c>
      <c r="F9" s="7" t="s">
        <v>63</v>
      </c>
      <c r="G9" s="7" t="s">
        <v>64</v>
      </c>
      <c r="H9" s="7" t="s">
        <v>65</v>
      </c>
      <c r="I9" s="7">
        <v>3451.0</v>
      </c>
      <c r="J9" s="33" t="s">
        <v>78</v>
      </c>
    </row>
    <row r="10">
      <c r="A10" s="31">
        <v>4.3289889013977E13</v>
      </c>
      <c r="B10" s="32">
        <v>8.436540366009E12</v>
      </c>
      <c r="C10" s="7" t="s">
        <v>60</v>
      </c>
      <c r="D10" s="7" t="s">
        <v>79</v>
      </c>
      <c r="E10" s="7" t="s">
        <v>80</v>
      </c>
      <c r="F10" s="7" t="s">
        <v>63</v>
      </c>
      <c r="G10" s="7" t="s">
        <v>64</v>
      </c>
      <c r="H10" s="7" t="s">
        <v>81</v>
      </c>
      <c r="I10" s="7">
        <v>3453.0</v>
      </c>
      <c r="J10" s="33" t="s">
        <v>82</v>
      </c>
    </row>
    <row r="11">
      <c r="A11" s="31">
        <v>1.2167962591298E13</v>
      </c>
      <c r="B11" s="32">
        <v>8.436540365071E12</v>
      </c>
      <c r="C11" s="7" t="s">
        <v>67</v>
      </c>
      <c r="D11" s="7" t="s">
        <v>83</v>
      </c>
      <c r="E11" s="7" t="s">
        <v>84</v>
      </c>
      <c r="F11" s="7" t="s">
        <v>63</v>
      </c>
      <c r="G11" s="7" t="s">
        <v>64</v>
      </c>
      <c r="H11" s="7" t="s">
        <v>81</v>
      </c>
      <c r="I11" s="7">
        <v>3453.0</v>
      </c>
      <c r="J11" s="33" t="s">
        <v>85</v>
      </c>
    </row>
    <row r="12">
      <c r="A12" s="31">
        <v>1.2167962656834E13</v>
      </c>
      <c r="B12" s="32">
        <v>8.436540360588E12</v>
      </c>
      <c r="C12" s="7" t="s">
        <v>75</v>
      </c>
      <c r="D12" s="7" t="s">
        <v>86</v>
      </c>
      <c r="E12" s="7" t="s">
        <v>87</v>
      </c>
      <c r="F12" s="7" t="s">
        <v>63</v>
      </c>
      <c r="G12" s="7" t="s">
        <v>64</v>
      </c>
      <c r="H12" s="7" t="s">
        <v>81</v>
      </c>
      <c r="I12" s="7">
        <v>3453.0</v>
      </c>
      <c r="J12" s="33" t="s">
        <v>88</v>
      </c>
    </row>
    <row r="13">
      <c r="A13" s="31">
        <v>1.2167962689602E13</v>
      </c>
      <c r="B13" s="32">
        <v>8.436540360595E12</v>
      </c>
      <c r="C13" s="7" t="s">
        <v>89</v>
      </c>
      <c r="D13" s="7" t="s">
        <v>90</v>
      </c>
      <c r="E13" s="7" t="s">
        <v>91</v>
      </c>
      <c r="F13" s="7" t="s">
        <v>63</v>
      </c>
      <c r="G13" s="7" t="s">
        <v>64</v>
      </c>
      <c r="H13" s="7" t="s">
        <v>81</v>
      </c>
      <c r="I13" s="7">
        <v>3453.0</v>
      </c>
      <c r="J13" s="33" t="s">
        <v>92</v>
      </c>
    </row>
    <row r="14">
      <c r="A14" s="31">
        <v>4.3289754370265E13</v>
      </c>
      <c r="B14" s="32">
        <v>8.436540365989E12</v>
      </c>
      <c r="C14" s="7" t="s">
        <v>60</v>
      </c>
      <c r="D14" s="7" t="s">
        <v>93</v>
      </c>
      <c r="E14" s="7" t="s">
        <v>94</v>
      </c>
      <c r="F14" s="7" t="s">
        <v>63</v>
      </c>
      <c r="G14" s="7" t="s">
        <v>64</v>
      </c>
      <c r="H14" s="7" t="s">
        <v>95</v>
      </c>
      <c r="I14" s="7">
        <v>3674.0</v>
      </c>
      <c r="J14" s="33" t="s">
        <v>96</v>
      </c>
    </row>
    <row r="15">
      <c r="A15" s="31">
        <v>1.2167859863618E13</v>
      </c>
      <c r="B15" s="32">
        <v>8.436540364616E12</v>
      </c>
      <c r="C15" s="7" t="s">
        <v>67</v>
      </c>
      <c r="D15" s="7" t="s">
        <v>97</v>
      </c>
      <c r="E15" s="7" t="s">
        <v>98</v>
      </c>
      <c r="F15" s="7" t="s">
        <v>63</v>
      </c>
      <c r="G15" s="7" t="s">
        <v>64</v>
      </c>
      <c r="H15" s="7" t="s">
        <v>95</v>
      </c>
      <c r="I15" s="7">
        <v>3674.0</v>
      </c>
      <c r="J15" s="33" t="s">
        <v>99</v>
      </c>
    </row>
    <row r="16">
      <c r="A16" s="31">
        <v>4.2655252512985E13</v>
      </c>
      <c r="B16" s="32">
        <v>8.43654036463E12</v>
      </c>
      <c r="C16" s="7" t="s">
        <v>75</v>
      </c>
      <c r="D16" s="7" t="s">
        <v>100</v>
      </c>
      <c r="E16" s="7" t="s">
        <v>101</v>
      </c>
      <c r="F16" s="7" t="s">
        <v>63</v>
      </c>
      <c r="G16" s="7" t="s">
        <v>64</v>
      </c>
      <c r="H16" s="7" t="s">
        <v>95</v>
      </c>
      <c r="I16" s="7">
        <v>3674.0</v>
      </c>
      <c r="J16" s="33" t="s">
        <v>102</v>
      </c>
    </row>
    <row r="17">
      <c r="A17" s="31">
        <v>4.2655252545753E13</v>
      </c>
      <c r="B17" s="32">
        <v>8.436540365095E12</v>
      </c>
      <c r="C17" s="7" t="s">
        <v>89</v>
      </c>
      <c r="D17" s="7" t="s">
        <v>103</v>
      </c>
      <c r="E17" s="7" t="s">
        <v>104</v>
      </c>
      <c r="F17" s="7" t="s">
        <v>63</v>
      </c>
      <c r="G17" s="7" t="s">
        <v>64</v>
      </c>
      <c r="H17" s="34" t="s">
        <v>105</v>
      </c>
      <c r="I17" s="7">
        <v>3674.0</v>
      </c>
      <c r="J17" s="33" t="s">
        <v>106</v>
      </c>
    </row>
    <row r="18">
      <c r="A18" s="31">
        <v>4.3289754337497E13</v>
      </c>
      <c r="B18" s="32">
        <v>8.436540365996E12</v>
      </c>
      <c r="C18" s="7" t="s">
        <v>60</v>
      </c>
      <c r="D18" s="7" t="s">
        <v>107</v>
      </c>
      <c r="E18" s="7" t="s">
        <v>108</v>
      </c>
      <c r="F18" s="7" t="s">
        <v>63</v>
      </c>
      <c r="G18" s="7" t="s">
        <v>64</v>
      </c>
      <c r="H18" s="7" t="s">
        <v>109</v>
      </c>
      <c r="I18" s="7">
        <v>3674.0</v>
      </c>
      <c r="J18" s="33" t="s">
        <v>110</v>
      </c>
    </row>
    <row r="19">
      <c r="A19" s="31">
        <v>4.2173524246745E13</v>
      </c>
      <c r="B19" s="32">
        <v>8.43654036517E12</v>
      </c>
      <c r="C19" s="7" t="s">
        <v>67</v>
      </c>
      <c r="D19" s="7" t="s">
        <v>111</v>
      </c>
      <c r="E19" s="7" t="s">
        <v>112</v>
      </c>
      <c r="F19" s="7" t="s">
        <v>63</v>
      </c>
      <c r="G19" s="7" t="s">
        <v>64</v>
      </c>
      <c r="H19" s="7" t="s">
        <v>109</v>
      </c>
      <c r="I19" s="7">
        <v>3674.0</v>
      </c>
      <c r="J19" s="33" t="s">
        <v>113</v>
      </c>
    </row>
    <row r="20">
      <c r="A20" s="31">
        <v>4.3161357779161E13</v>
      </c>
      <c r="B20" s="32">
        <v>8.436540366153E12</v>
      </c>
      <c r="C20" s="7" t="s">
        <v>75</v>
      </c>
      <c r="D20" s="7" t="s">
        <v>114</v>
      </c>
      <c r="E20" s="7" t="s">
        <v>115</v>
      </c>
      <c r="F20" s="7" t="s">
        <v>63</v>
      </c>
      <c r="G20" s="7" t="s">
        <v>64</v>
      </c>
      <c r="H20" s="7" t="s">
        <v>109</v>
      </c>
      <c r="I20" s="7">
        <v>3674.0</v>
      </c>
      <c r="J20" s="33" t="s">
        <v>116</v>
      </c>
    </row>
    <row r="21" ht="15.75" customHeight="1">
      <c r="A21" s="31">
        <v>4.3289746342105E13</v>
      </c>
      <c r="B21" s="32">
        <v>8.436540365965E12</v>
      </c>
      <c r="C21" s="7" t="s">
        <v>60</v>
      </c>
      <c r="D21" s="7" t="s">
        <v>117</v>
      </c>
      <c r="E21" s="7" t="s">
        <v>118</v>
      </c>
      <c r="F21" s="7" t="s">
        <v>63</v>
      </c>
      <c r="G21" s="7" t="s">
        <v>64</v>
      </c>
      <c r="H21" s="7" t="s">
        <v>119</v>
      </c>
      <c r="I21" s="7">
        <v>3440.0</v>
      </c>
      <c r="J21" s="33" t="s">
        <v>120</v>
      </c>
    </row>
    <row r="22" ht="15.75" customHeight="1">
      <c r="A22" s="31">
        <v>4.2655137169625E13</v>
      </c>
      <c r="B22" s="32">
        <v>8.436540360304E12</v>
      </c>
      <c r="C22" s="7" t="s">
        <v>67</v>
      </c>
      <c r="D22" s="7" t="s">
        <v>121</v>
      </c>
      <c r="E22" s="7" t="s">
        <v>122</v>
      </c>
      <c r="F22" s="7" t="s">
        <v>63</v>
      </c>
      <c r="G22" s="7" t="s">
        <v>64</v>
      </c>
      <c r="H22" s="7" t="s">
        <v>119</v>
      </c>
      <c r="I22" s="7">
        <v>3440.0</v>
      </c>
      <c r="J22" s="33" t="s">
        <v>123</v>
      </c>
    </row>
    <row r="23" ht="15.75" customHeight="1">
      <c r="A23" s="31">
        <v>4.2655137267929E13</v>
      </c>
      <c r="B23" s="32">
        <v>8.436540360243E12</v>
      </c>
      <c r="C23" s="7" t="s">
        <v>75</v>
      </c>
      <c r="D23" s="7" t="s">
        <v>124</v>
      </c>
      <c r="E23" s="7" t="s">
        <v>125</v>
      </c>
      <c r="F23" s="7" t="s">
        <v>63</v>
      </c>
      <c r="G23" s="7" t="s">
        <v>64</v>
      </c>
      <c r="H23" s="7" t="s">
        <v>119</v>
      </c>
      <c r="I23" s="7">
        <v>3440.0</v>
      </c>
      <c r="J23" s="33" t="s">
        <v>126</v>
      </c>
    </row>
    <row r="24" ht="15.75" customHeight="1">
      <c r="A24" s="31">
        <v>4.2655137300697E13</v>
      </c>
      <c r="B24" s="32">
        <v>8.436540360519E12</v>
      </c>
      <c r="C24" s="7" t="s">
        <v>89</v>
      </c>
      <c r="D24" s="7" t="s">
        <v>127</v>
      </c>
      <c r="E24" s="7" t="s">
        <v>128</v>
      </c>
      <c r="F24" s="7" t="s">
        <v>63</v>
      </c>
      <c r="G24" s="7" t="s">
        <v>64</v>
      </c>
      <c r="H24" s="7" t="s">
        <v>119</v>
      </c>
      <c r="I24" s="7">
        <v>3440.0</v>
      </c>
      <c r="J24" s="33" t="s">
        <v>129</v>
      </c>
    </row>
    <row r="25">
      <c r="A25" s="31">
        <v>4.3289746309337E13</v>
      </c>
      <c r="B25" s="32">
        <v>8.436540365972E12</v>
      </c>
      <c r="C25" s="7" t="s">
        <v>60</v>
      </c>
      <c r="D25" s="7" t="s">
        <v>130</v>
      </c>
      <c r="E25" s="7" t="s">
        <v>131</v>
      </c>
      <c r="F25" s="7" t="s">
        <v>63</v>
      </c>
      <c r="G25" s="7" t="s">
        <v>64</v>
      </c>
      <c r="H25" s="7" t="s">
        <v>132</v>
      </c>
      <c r="I25" s="7">
        <v>3440.0</v>
      </c>
      <c r="J25" s="33" t="s">
        <v>133</v>
      </c>
    </row>
    <row r="26">
      <c r="A26" s="31">
        <v>4.2655137530073E13</v>
      </c>
      <c r="B26" s="32">
        <v>8.436540365286E12</v>
      </c>
      <c r="C26" s="7" t="s">
        <v>67</v>
      </c>
      <c r="D26" s="7" t="s">
        <v>134</v>
      </c>
      <c r="E26" s="7" t="s">
        <v>135</v>
      </c>
      <c r="F26" s="7" t="s">
        <v>63</v>
      </c>
      <c r="G26" s="7" t="s">
        <v>64</v>
      </c>
      <c r="H26" s="7" t="s">
        <v>132</v>
      </c>
      <c r="I26" s="7">
        <v>3440.0</v>
      </c>
      <c r="J26" s="33" t="s">
        <v>136</v>
      </c>
    </row>
    <row r="27" ht="15.75" customHeight="1">
      <c r="A27" s="31">
        <v>4.3161352339673E13</v>
      </c>
      <c r="B27" s="32">
        <v>8.436540365798E12</v>
      </c>
      <c r="C27" s="7" t="s">
        <v>75</v>
      </c>
      <c r="D27" s="7" t="s">
        <v>137</v>
      </c>
      <c r="E27" s="7" t="s">
        <v>138</v>
      </c>
      <c r="F27" s="7" t="s">
        <v>63</v>
      </c>
      <c r="G27" s="7" t="s">
        <v>64</v>
      </c>
      <c r="H27" s="7" t="s">
        <v>132</v>
      </c>
      <c r="I27" s="7">
        <v>3440.0</v>
      </c>
      <c r="J27" s="33" t="s">
        <v>139</v>
      </c>
    </row>
    <row r="28" ht="15.75" customHeight="1">
      <c r="A28" s="31">
        <v>4.3289875513561E13</v>
      </c>
      <c r="B28" s="32">
        <v>8.436540365958E12</v>
      </c>
      <c r="C28" s="7" t="s">
        <v>60</v>
      </c>
      <c r="D28" s="7" t="s">
        <v>140</v>
      </c>
      <c r="E28" s="7" t="s">
        <v>141</v>
      </c>
      <c r="F28" s="7" t="s">
        <v>63</v>
      </c>
      <c r="G28" s="7" t="s">
        <v>64</v>
      </c>
      <c r="H28" s="7" t="s">
        <v>142</v>
      </c>
      <c r="I28" s="7">
        <v>3327.0</v>
      </c>
      <c r="J28" s="35" t="s">
        <v>143</v>
      </c>
    </row>
    <row r="29" ht="15.75" customHeight="1">
      <c r="A29" s="31">
        <v>4.2651916140761E13</v>
      </c>
      <c r="B29" s="32">
        <v>8.436540365934E12</v>
      </c>
      <c r="C29" s="7" t="s">
        <v>67</v>
      </c>
      <c r="D29" s="7" t="s">
        <v>144</v>
      </c>
      <c r="E29" s="7" t="s">
        <v>145</v>
      </c>
      <c r="F29" s="7" t="s">
        <v>63</v>
      </c>
      <c r="G29" s="7" t="s">
        <v>64</v>
      </c>
      <c r="H29" s="7" t="s">
        <v>142</v>
      </c>
      <c r="I29" s="7">
        <v>3327.0</v>
      </c>
      <c r="J29" s="35" t="s">
        <v>146</v>
      </c>
    </row>
    <row r="30" ht="15.75" customHeight="1">
      <c r="A30" s="31">
        <v>4.2651916173529E13</v>
      </c>
      <c r="B30" s="32">
        <v>8.436540360069E12</v>
      </c>
      <c r="C30" s="7" t="s">
        <v>75</v>
      </c>
      <c r="D30" s="7" t="s">
        <v>147</v>
      </c>
      <c r="E30" s="7" t="s">
        <v>148</v>
      </c>
      <c r="F30" s="7" t="s">
        <v>63</v>
      </c>
      <c r="G30" s="7" t="s">
        <v>64</v>
      </c>
      <c r="H30" s="7" t="s">
        <v>142</v>
      </c>
      <c r="I30" s="7">
        <v>3327.0</v>
      </c>
      <c r="J30" s="35" t="s">
        <v>149</v>
      </c>
    </row>
    <row r="31" ht="15.75" customHeight="1">
      <c r="A31" s="31">
        <v>4.2651916206297E13</v>
      </c>
      <c r="B31" s="32">
        <v>8.436540360281E12</v>
      </c>
      <c r="C31" s="7" t="s">
        <v>89</v>
      </c>
      <c r="D31" s="7" t="s">
        <v>150</v>
      </c>
      <c r="E31" s="7" t="s">
        <v>151</v>
      </c>
      <c r="F31" s="7" t="s">
        <v>63</v>
      </c>
      <c r="G31" s="7" t="s">
        <v>64</v>
      </c>
      <c r="H31" s="7" t="s">
        <v>142</v>
      </c>
      <c r="I31" s="7">
        <v>3327.0</v>
      </c>
      <c r="J31" s="35" t="s">
        <v>152</v>
      </c>
    </row>
    <row r="32" ht="15.75" customHeight="1">
      <c r="A32" s="31">
        <v>4.3289875480793E13</v>
      </c>
      <c r="B32" s="32">
        <v>8.436540365941E12</v>
      </c>
      <c r="C32" s="7" t="s">
        <v>60</v>
      </c>
      <c r="D32" s="7" t="s">
        <v>153</v>
      </c>
      <c r="E32" s="7" t="s">
        <v>154</v>
      </c>
      <c r="F32" s="7" t="s">
        <v>63</v>
      </c>
      <c r="G32" s="7" t="s">
        <v>64</v>
      </c>
      <c r="H32" s="7" t="s">
        <v>155</v>
      </c>
      <c r="I32" s="7">
        <v>3327.0</v>
      </c>
      <c r="J32" s="35" t="s">
        <v>156</v>
      </c>
    </row>
    <row r="33" ht="15.75" customHeight="1">
      <c r="A33" s="31">
        <v>4.3387689959641E13</v>
      </c>
      <c r="B33" s="32">
        <v>8.436540367372E12</v>
      </c>
      <c r="C33" s="7" t="s">
        <v>67</v>
      </c>
      <c r="D33" s="7" t="s">
        <v>157</v>
      </c>
      <c r="E33" s="7" t="s">
        <v>158</v>
      </c>
      <c r="F33" s="7" t="s">
        <v>63</v>
      </c>
      <c r="G33" s="7" t="s">
        <v>64</v>
      </c>
      <c r="H33" s="7" t="s">
        <v>155</v>
      </c>
      <c r="I33" s="7">
        <v>3327.0</v>
      </c>
      <c r="J33" s="36" t="s">
        <v>159</v>
      </c>
    </row>
    <row r="34" ht="15.75" customHeight="1">
      <c r="A34" s="31">
        <v>4.3161301516505E13</v>
      </c>
      <c r="B34" s="32">
        <v>8.43654036559E12</v>
      </c>
      <c r="C34" s="7" t="s">
        <v>75</v>
      </c>
      <c r="D34" s="7" t="s">
        <v>160</v>
      </c>
      <c r="E34" s="7" t="s">
        <v>161</v>
      </c>
      <c r="F34" s="7" t="s">
        <v>63</v>
      </c>
      <c r="G34" s="7" t="s">
        <v>64</v>
      </c>
      <c r="H34" s="7" t="s">
        <v>155</v>
      </c>
      <c r="I34" s="7">
        <v>3327.0</v>
      </c>
      <c r="J34" s="36" t="s">
        <v>162</v>
      </c>
    </row>
    <row r="35" ht="15.75" customHeight="1">
      <c r="A35" s="31">
        <v>4.3289984827609E13</v>
      </c>
      <c r="B35" s="32">
        <v>8.436540365415E12</v>
      </c>
      <c r="C35" s="7" t="s">
        <v>60</v>
      </c>
      <c r="D35" s="7" t="s">
        <v>163</v>
      </c>
      <c r="E35" s="7" t="s">
        <v>164</v>
      </c>
      <c r="F35" s="7" t="s">
        <v>63</v>
      </c>
      <c r="G35" s="7" t="s">
        <v>165</v>
      </c>
      <c r="H35" s="7" t="s">
        <v>166</v>
      </c>
      <c r="I35" s="7">
        <v>3686.0</v>
      </c>
      <c r="J35" s="35" t="s">
        <v>167</v>
      </c>
    </row>
    <row r="36" ht="15.75" customHeight="1">
      <c r="A36" s="31">
        <v>4.2413789053145E13</v>
      </c>
      <c r="B36" s="32">
        <v>8.436540360922E12</v>
      </c>
      <c r="C36" s="7" t="s">
        <v>168</v>
      </c>
      <c r="D36" s="7" t="s">
        <v>169</v>
      </c>
      <c r="E36" s="7" t="s">
        <v>170</v>
      </c>
      <c r="F36" s="7" t="s">
        <v>63</v>
      </c>
      <c r="G36" s="7" t="s">
        <v>165</v>
      </c>
      <c r="H36" s="7" t="s">
        <v>166</v>
      </c>
      <c r="I36" s="7">
        <v>3686.0</v>
      </c>
      <c r="J36" s="36" t="s">
        <v>171</v>
      </c>
    </row>
    <row r="37" ht="15.75" customHeight="1">
      <c r="A37" s="31">
        <v>4.3568574202073E13</v>
      </c>
      <c r="B37" s="37">
        <v>8.436540365439E12</v>
      </c>
      <c r="C37" s="34" t="s">
        <v>172</v>
      </c>
      <c r="D37" s="34" t="s">
        <v>173</v>
      </c>
      <c r="E37" s="34" t="s">
        <v>174</v>
      </c>
      <c r="F37" s="7" t="s">
        <v>63</v>
      </c>
      <c r="G37" s="7" t="s">
        <v>165</v>
      </c>
      <c r="H37" s="7" t="s">
        <v>166</v>
      </c>
      <c r="I37" s="7">
        <v>3686.0</v>
      </c>
      <c r="J37" s="35" t="s">
        <v>175</v>
      </c>
    </row>
    <row r="38" ht="15.75" customHeight="1">
      <c r="A38" s="31">
        <v>4.3289965068505E13</v>
      </c>
      <c r="B38" s="32">
        <v>8.436540365392E12</v>
      </c>
      <c r="C38" s="7" t="s">
        <v>60</v>
      </c>
      <c r="D38" s="7" t="s">
        <v>176</v>
      </c>
      <c r="E38" s="7" t="s">
        <v>177</v>
      </c>
      <c r="F38" s="7" t="s">
        <v>63</v>
      </c>
      <c r="G38" s="7" t="s">
        <v>165</v>
      </c>
      <c r="H38" s="7" t="s">
        <v>95</v>
      </c>
      <c r="I38" s="7">
        <v>4070.0</v>
      </c>
      <c r="J38" s="35" t="s">
        <v>178</v>
      </c>
    </row>
    <row r="39" ht="15.75" customHeight="1">
      <c r="A39" s="31">
        <v>4.2413796983001E13</v>
      </c>
      <c r="B39" s="32">
        <v>8.436540360939E12</v>
      </c>
      <c r="C39" s="7" t="s">
        <v>168</v>
      </c>
      <c r="D39" s="7" t="s">
        <v>179</v>
      </c>
      <c r="E39" s="7" t="s">
        <v>180</v>
      </c>
      <c r="F39" s="7" t="s">
        <v>63</v>
      </c>
      <c r="G39" s="7" t="s">
        <v>165</v>
      </c>
      <c r="H39" s="7" t="s">
        <v>95</v>
      </c>
      <c r="I39" s="7">
        <v>4070.0</v>
      </c>
      <c r="J39" s="36" t="s">
        <v>181</v>
      </c>
    </row>
    <row r="40" ht="15.75" customHeight="1">
      <c r="A40" s="31">
        <v>4.3568576463065E13</v>
      </c>
      <c r="B40" s="37">
        <v>8.436540365446E12</v>
      </c>
      <c r="C40" s="34" t="s">
        <v>172</v>
      </c>
      <c r="D40" s="34" t="s">
        <v>182</v>
      </c>
      <c r="E40" s="34" t="s">
        <v>183</v>
      </c>
      <c r="F40" s="7" t="s">
        <v>63</v>
      </c>
      <c r="G40" s="7" t="s">
        <v>165</v>
      </c>
      <c r="H40" s="7" t="s">
        <v>95</v>
      </c>
      <c r="I40" s="7">
        <v>4070.0</v>
      </c>
      <c r="J40" s="36" t="s">
        <v>184</v>
      </c>
    </row>
    <row r="41" ht="15.75" customHeight="1">
      <c r="A41" s="31">
        <v>4.3289957662937E13</v>
      </c>
      <c r="B41" s="32">
        <v>8.436540365408E12</v>
      </c>
      <c r="C41" s="7" t="s">
        <v>60</v>
      </c>
      <c r="D41" s="7" t="s">
        <v>185</v>
      </c>
      <c r="E41" s="7" t="s">
        <v>186</v>
      </c>
      <c r="F41" s="7" t="s">
        <v>63</v>
      </c>
      <c r="G41" s="7" t="s">
        <v>165</v>
      </c>
      <c r="H41" s="7" t="s">
        <v>187</v>
      </c>
      <c r="I41" s="7">
        <v>3940.0</v>
      </c>
      <c r="J41" s="36" t="s">
        <v>188</v>
      </c>
    </row>
    <row r="42" ht="15.75" customHeight="1">
      <c r="A42" s="31">
        <v>4.2413798064345E13</v>
      </c>
      <c r="B42" s="32">
        <v>8.436540360946E12</v>
      </c>
      <c r="C42" s="7" t="s">
        <v>168</v>
      </c>
      <c r="D42" s="7" t="s">
        <v>189</v>
      </c>
      <c r="E42" s="7" t="s">
        <v>190</v>
      </c>
      <c r="F42" s="7" t="s">
        <v>63</v>
      </c>
      <c r="G42" s="7" t="s">
        <v>165</v>
      </c>
      <c r="H42" s="7" t="s">
        <v>187</v>
      </c>
      <c r="I42" s="7">
        <v>3940.0</v>
      </c>
      <c r="J42" s="36" t="s">
        <v>191</v>
      </c>
    </row>
    <row r="43" ht="15.75" customHeight="1">
      <c r="A43" s="31">
        <v>4.3568580690137E13</v>
      </c>
      <c r="B43" s="37">
        <v>8.436540365453E12</v>
      </c>
      <c r="C43" s="34" t="s">
        <v>172</v>
      </c>
      <c r="D43" s="34" t="s">
        <v>192</v>
      </c>
      <c r="E43" s="34" t="s">
        <v>193</v>
      </c>
      <c r="F43" s="7" t="s">
        <v>63</v>
      </c>
      <c r="G43" s="7" t="s">
        <v>165</v>
      </c>
      <c r="H43" s="7" t="s">
        <v>187</v>
      </c>
      <c r="I43" s="7">
        <v>3940.0</v>
      </c>
      <c r="J43" s="36" t="s">
        <v>194</v>
      </c>
    </row>
    <row r="44" ht="15.75" customHeight="1">
      <c r="A44" s="31">
        <v>4.3290069303513E13</v>
      </c>
      <c r="B44" s="32">
        <v>8.436540365378E12</v>
      </c>
      <c r="C44" s="7" t="s">
        <v>60</v>
      </c>
      <c r="D44" s="7" t="s">
        <v>195</v>
      </c>
      <c r="E44" s="7" t="s">
        <v>196</v>
      </c>
      <c r="F44" s="7" t="s">
        <v>63</v>
      </c>
      <c r="G44" s="7" t="s">
        <v>165</v>
      </c>
      <c r="H44" s="7" t="s">
        <v>65</v>
      </c>
      <c r="I44" s="7">
        <v>4173.0</v>
      </c>
      <c r="J44" s="36" t="s">
        <v>197</v>
      </c>
    </row>
    <row r="45" ht="15.75" customHeight="1">
      <c r="A45" s="31">
        <v>4.2413796458713E13</v>
      </c>
      <c r="B45" s="32">
        <v>8.436540360915E12</v>
      </c>
      <c r="C45" s="7" t="s">
        <v>168</v>
      </c>
      <c r="D45" s="7" t="s">
        <v>198</v>
      </c>
      <c r="E45" s="7" t="s">
        <v>199</v>
      </c>
      <c r="F45" s="7" t="s">
        <v>63</v>
      </c>
      <c r="G45" s="7" t="s">
        <v>165</v>
      </c>
      <c r="H45" s="7" t="s">
        <v>65</v>
      </c>
      <c r="I45" s="7">
        <v>4173.0</v>
      </c>
      <c r="J45" s="36" t="s">
        <v>200</v>
      </c>
    </row>
    <row r="46" ht="15.75" customHeight="1">
      <c r="A46" s="31">
        <v>4.3568572661977E13</v>
      </c>
      <c r="B46" s="37">
        <v>8.436540365422E12</v>
      </c>
      <c r="C46" s="34" t="s">
        <v>172</v>
      </c>
      <c r="D46" s="34" t="s">
        <v>201</v>
      </c>
      <c r="E46" s="34" t="s">
        <v>202</v>
      </c>
      <c r="F46" s="7" t="s">
        <v>63</v>
      </c>
      <c r="G46" s="7" t="s">
        <v>165</v>
      </c>
      <c r="H46" s="7" t="s">
        <v>65</v>
      </c>
      <c r="I46" s="7">
        <v>4173.0</v>
      </c>
      <c r="J46" s="33" t="s">
        <v>203</v>
      </c>
    </row>
    <row r="47" ht="15.75" customHeight="1">
      <c r="A47" s="31">
        <v>4.2037603729625E13</v>
      </c>
      <c r="B47" s="32">
        <v>8.43654036504E12</v>
      </c>
      <c r="C47" s="7" t="s">
        <v>204</v>
      </c>
      <c r="D47" s="7" t="s">
        <v>205</v>
      </c>
      <c r="E47" s="7" t="s">
        <v>206</v>
      </c>
      <c r="F47" s="7" t="s">
        <v>207</v>
      </c>
      <c r="G47" s="7" t="s">
        <v>165</v>
      </c>
      <c r="H47" s="7" t="s">
        <v>65</v>
      </c>
      <c r="I47" s="7">
        <v>871.0</v>
      </c>
      <c r="J47" s="33" t="s">
        <v>208</v>
      </c>
    </row>
    <row r="48" ht="15.75" customHeight="1">
      <c r="A48" s="31">
        <v>4.2037603762393E13</v>
      </c>
      <c r="B48" s="37">
        <v>1.8436540365047E13</v>
      </c>
      <c r="C48" s="34" t="s">
        <v>209</v>
      </c>
      <c r="D48" s="34" t="s">
        <v>210</v>
      </c>
      <c r="E48" s="34" t="s">
        <v>211</v>
      </c>
      <c r="F48" s="7" t="s">
        <v>207</v>
      </c>
      <c r="G48" s="7" t="s">
        <v>165</v>
      </c>
      <c r="H48" s="7" t="s">
        <v>65</v>
      </c>
      <c r="I48" s="7">
        <v>871.0</v>
      </c>
      <c r="J48" s="33" t="s">
        <v>212</v>
      </c>
    </row>
    <row r="49" ht="15.75" customHeight="1">
      <c r="A49" s="31">
        <v>4.9479598047571E13</v>
      </c>
      <c r="B49" s="37">
        <v>1.8436540371253E13</v>
      </c>
      <c r="C49" s="34" t="s">
        <v>213</v>
      </c>
      <c r="D49" s="7"/>
      <c r="E49" s="34" t="s">
        <v>214</v>
      </c>
      <c r="F49" s="7" t="s">
        <v>207</v>
      </c>
      <c r="G49" s="7" t="s">
        <v>165</v>
      </c>
      <c r="H49" s="7" t="s">
        <v>65</v>
      </c>
      <c r="I49" s="7">
        <v>871.0</v>
      </c>
      <c r="J49" s="35" t="s">
        <v>215</v>
      </c>
    </row>
    <row r="50" ht="15.75" customHeight="1">
      <c r="A50" s="31">
        <v>1.2632988188738E13</v>
      </c>
      <c r="B50" s="32">
        <v>8.436540360106E12</v>
      </c>
      <c r="C50" s="7" t="s">
        <v>204</v>
      </c>
      <c r="D50" s="7" t="s">
        <v>216</v>
      </c>
      <c r="E50" s="7" t="s">
        <v>217</v>
      </c>
      <c r="F50" s="7" t="s">
        <v>207</v>
      </c>
      <c r="G50" s="7" t="s">
        <v>165</v>
      </c>
      <c r="H50" s="7" t="s">
        <v>218</v>
      </c>
      <c r="I50" s="7">
        <v>971.0</v>
      </c>
      <c r="J50" s="33" t="s">
        <v>219</v>
      </c>
    </row>
    <row r="51" ht="15.75" customHeight="1">
      <c r="A51" s="31">
        <v>1.4243705159746E13</v>
      </c>
      <c r="B51" s="37">
        <v>1.8436540360103E13</v>
      </c>
      <c r="C51" s="34" t="s">
        <v>209</v>
      </c>
      <c r="D51" s="34" t="s">
        <v>220</v>
      </c>
      <c r="E51" s="34" t="s">
        <v>221</v>
      </c>
      <c r="F51" s="7" t="s">
        <v>207</v>
      </c>
      <c r="G51" s="7" t="s">
        <v>165</v>
      </c>
      <c r="H51" s="7" t="s">
        <v>218</v>
      </c>
      <c r="I51" s="7">
        <v>971.0</v>
      </c>
      <c r="J51" s="35" t="s">
        <v>222</v>
      </c>
    </row>
    <row r="52" ht="15.75" customHeight="1">
      <c r="A52" s="31">
        <v>4.9139872891219E13</v>
      </c>
      <c r="B52" s="37">
        <v>1.8436540371185E13</v>
      </c>
      <c r="C52" s="34" t="s">
        <v>213</v>
      </c>
      <c r="D52" s="34" t="s">
        <v>223</v>
      </c>
      <c r="E52" s="34" t="s">
        <v>224</v>
      </c>
      <c r="F52" s="7" t="s">
        <v>207</v>
      </c>
      <c r="G52" s="7" t="s">
        <v>165</v>
      </c>
      <c r="H52" s="7" t="s">
        <v>218</v>
      </c>
      <c r="I52" s="7">
        <v>971.0</v>
      </c>
      <c r="J52" s="33" t="s">
        <v>225</v>
      </c>
    </row>
    <row r="53" ht="15.75" customHeight="1">
      <c r="A53" s="31">
        <v>1.263306122861E13</v>
      </c>
      <c r="B53" s="32">
        <v>8.436540360113E12</v>
      </c>
      <c r="C53" s="7" t="s">
        <v>204</v>
      </c>
      <c r="D53" s="7" t="s">
        <v>226</v>
      </c>
      <c r="E53" s="7" t="s">
        <v>227</v>
      </c>
      <c r="F53" s="7" t="s">
        <v>207</v>
      </c>
      <c r="G53" s="7" t="s">
        <v>165</v>
      </c>
      <c r="H53" s="7" t="s">
        <v>228</v>
      </c>
      <c r="I53" s="7">
        <v>943.0</v>
      </c>
      <c r="J53" s="35" t="s">
        <v>229</v>
      </c>
    </row>
    <row r="54" ht="15.75" customHeight="1">
      <c r="A54" s="31">
        <v>1.4243707453506E13</v>
      </c>
      <c r="B54" s="37">
        <v>1.843654036011E13</v>
      </c>
      <c r="C54" s="34" t="s">
        <v>209</v>
      </c>
      <c r="D54" s="34" t="s">
        <v>230</v>
      </c>
      <c r="E54" s="34" t="s">
        <v>231</v>
      </c>
      <c r="F54" s="7" t="s">
        <v>207</v>
      </c>
      <c r="G54" s="7" t="s">
        <v>165</v>
      </c>
      <c r="H54" s="7" t="s">
        <v>228</v>
      </c>
      <c r="I54" s="7">
        <v>943.0</v>
      </c>
      <c r="J54" s="35" t="s">
        <v>232</v>
      </c>
    </row>
    <row r="55" ht="15.75" customHeight="1">
      <c r="A55" s="31">
        <v>4.9139879051603E13</v>
      </c>
      <c r="B55" s="37">
        <v>1.8436540371192E13</v>
      </c>
      <c r="C55" s="34" t="s">
        <v>213</v>
      </c>
      <c r="D55" s="34" t="s">
        <v>233</v>
      </c>
      <c r="E55" s="34" t="s">
        <v>234</v>
      </c>
      <c r="F55" s="7" t="s">
        <v>207</v>
      </c>
      <c r="G55" s="7" t="s">
        <v>165</v>
      </c>
      <c r="H55" s="7" t="s">
        <v>228</v>
      </c>
      <c r="I55" s="7">
        <v>943.0</v>
      </c>
      <c r="J55" s="35" t="s">
        <v>235</v>
      </c>
    </row>
    <row r="56" ht="15.75" customHeight="1">
      <c r="A56" s="31">
        <v>1.2633070927938E13</v>
      </c>
      <c r="B56" s="32">
        <v>8.436540360441E12</v>
      </c>
      <c r="C56" s="7" t="s">
        <v>204</v>
      </c>
      <c r="D56" s="7" t="s">
        <v>236</v>
      </c>
      <c r="E56" s="7" t="s">
        <v>237</v>
      </c>
      <c r="F56" s="7" t="s">
        <v>207</v>
      </c>
      <c r="G56" s="7" t="s">
        <v>165</v>
      </c>
      <c r="H56" s="7" t="s">
        <v>238</v>
      </c>
      <c r="I56" s="7">
        <v>656.0</v>
      </c>
      <c r="J56" s="35" t="s">
        <v>239</v>
      </c>
    </row>
    <row r="57" ht="15.75" customHeight="1">
      <c r="A57" s="31">
        <v>1.424368658029E13</v>
      </c>
      <c r="B57" s="37">
        <v>1.8436540360448E13</v>
      </c>
      <c r="C57" s="34" t="s">
        <v>209</v>
      </c>
      <c r="D57" s="34" t="s">
        <v>240</v>
      </c>
      <c r="E57" s="34" t="s">
        <v>241</v>
      </c>
      <c r="F57" s="7" t="s">
        <v>207</v>
      </c>
      <c r="G57" s="7" t="s">
        <v>165</v>
      </c>
      <c r="H57" s="7" t="s">
        <v>238</v>
      </c>
      <c r="I57" s="7">
        <v>656.0</v>
      </c>
      <c r="J57" s="35" t="s">
        <v>239</v>
      </c>
    </row>
    <row r="58" ht="15.75" customHeight="1">
      <c r="A58" s="31">
        <v>4.9139897893203E13</v>
      </c>
      <c r="B58" s="37">
        <v>1.8436540371222E13</v>
      </c>
      <c r="C58" s="34" t="s">
        <v>213</v>
      </c>
      <c r="D58" s="34" t="s">
        <v>242</v>
      </c>
      <c r="E58" s="34" t="s">
        <v>243</v>
      </c>
      <c r="F58" s="7" t="s">
        <v>207</v>
      </c>
      <c r="G58" s="7" t="s">
        <v>165</v>
      </c>
      <c r="H58" s="7" t="s">
        <v>238</v>
      </c>
      <c r="I58" s="7">
        <v>656.0</v>
      </c>
      <c r="J58" s="35" t="s">
        <v>244</v>
      </c>
    </row>
    <row r="59" ht="15.75" customHeight="1">
      <c r="A59" s="31">
        <v>4.9139894681939E13</v>
      </c>
      <c r="B59" s="32">
        <v>8.436540360434E12</v>
      </c>
      <c r="C59" s="7" t="s">
        <v>204</v>
      </c>
      <c r="D59" s="7" t="s">
        <v>245</v>
      </c>
      <c r="E59" s="7" t="s">
        <v>246</v>
      </c>
      <c r="F59" s="7" t="s">
        <v>207</v>
      </c>
      <c r="G59" s="7" t="s">
        <v>165</v>
      </c>
      <c r="H59" s="7" t="s">
        <v>247</v>
      </c>
      <c r="I59" s="7">
        <v>704.0</v>
      </c>
      <c r="J59" s="36" t="s">
        <v>248</v>
      </c>
    </row>
    <row r="60" ht="15.75" customHeight="1">
      <c r="A60" s="31">
        <v>1.4243698737218E13</v>
      </c>
      <c r="B60" s="37">
        <v>1.8436540360431E13</v>
      </c>
      <c r="C60" s="34" t="s">
        <v>209</v>
      </c>
      <c r="D60" s="34" t="s">
        <v>249</v>
      </c>
      <c r="E60" s="34" t="s">
        <v>250</v>
      </c>
      <c r="F60" s="7" t="s">
        <v>207</v>
      </c>
      <c r="G60" s="7" t="s">
        <v>165</v>
      </c>
      <c r="H60" s="7" t="s">
        <v>247</v>
      </c>
      <c r="I60" s="7">
        <v>704.0</v>
      </c>
      <c r="J60" s="35" t="s">
        <v>251</v>
      </c>
    </row>
    <row r="61" ht="15.75" customHeight="1">
      <c r="A61" s="31">
        <v>4.9139894681939E13</v>
      </c>
      <c r="B61" s="37">
        <v>1.8436540371239E13</v>
      </c>
      <c r="C61" s="34" t="s">
        <v>213</v>
      </c>
      <c r="D61" s="34" t="s">
        <v>252</v>
      </c>
      <c r="E61" s="34" t="s">
        <v>253</v>
      </c>
      <c r="F61" s="7" t="s">
        <v>207</v>
      </c>
      <c r="G61" s="7" t="s">
        <v>165</v>
      </c>
      <c r="H61" s="7" t="s">
        <v>247</v>
      </c>
      <c r="I61" s="7">
        <v>704.0</v>
      </c>
      <c r="J61" s="35" t="s">
        <v>254</v>
      </c>
    </row>
    <row r="62" ht="15.75" customHeight="1">
      <c r="A62" s="31">
        <v>1.2633123782722E13</v>
      </c>
      <c r="B62" s="32">
        <v>8.436540360427E12</v>
      </c>
      <c r="C62" s="7" t="s">
        <v>204</v>
      </c>
      <c r="D62" s="7" t="s">
        <v>255</v>
      </c>
      <c r="E62" s="7" t="s">
        <v>256</v>
      </c>
      <c r="F62" s="7" t="s">
        <v>207</v>
      </c>
      <c r="G62" s="7" t="s">
        <v>165</v>
      </c>
      <c r="H62" s="7" t="s">
        <v>257</v>
      </c>
      <c r="I62" s="7">
        <v>746.0</v>
      </c>
      <c r="J62" s="33" t="s">
        <v>258</v>
      </c>
    </row>
    <row r="63" ht="15.75" customHeight="1">
      <c r="A63" s="31">
        <v>4.8154989461843E13</v>
      </c>
      <c r="B63" s="37">
        <v>1.8436540371215E13</v>
      </c>
      <c r="C63" s="34" t="s">
        <v>213</v>
      </c>
      <c r="D63" s="34" t="s">
        <v>259</v>
      </c>
      <c r="E63" s="34" t="s">
        <v>260</v>
      </c>
      <c r="F63" s="7" t="s">
        <v>207</v>
      </c>
      <c r="G63" s="7" t="s">
        <v>165</v>
      </c>
      <c r="H63" s="7" t="s">
        <v>257</v>
      </c>
      <c r="I63" s="7">
        <v>746.0</v>
      </c>
      <c r="J63" s="36" t="s">
        <v>261</v>
      </c>
    </row>
    <row r="64" ht="15.75" customHeight="1">
      <c r="A64" s="31">
        <v>1.409297655405E13</v>
      </c>
      <c r="B64" s="32">
        <v>8.436540360489E12</v>
      </c>
      <c r="C64" s="7" t="s">
        <v>204</v>
      </c>
      <c r="D64" s="7" t="s">
        <v>262</v>
      </c>
      <c r="E64" s="7" t="s">
        <v>263</v>
      </c>
      <c r="F64" s="7" t="s">
        <v>207</v>
      </c>
      <c r="G64" s="7" t="s">
        <v>165</v>
      </c>
      <c r="H64" s="7" t="s">
        <v>264</v>
      </c>
      <c r="I64" s="7">
        <v>653.0</v>
      </c>
      <c r="J64" s="35" t="s">
        <v>265</v>
      </c>
    </row>
    <row r="65" ht="15.75" customHeight="1">
      <c r="A65" s="31">
        <v>1.4242700132418E13</v>
      </c>
      <c r="B65" s="37">
        <v>1.8436540360486E13</v>
      </c>
      <c r="C65" s="34" t="s">
        <v>209</v>
      </c>
      <c r="D65" s="34" t="s">
        <v>266</v>
      </c>
      <c r="E65" s="34" t="s">
        <v>267</v>
      </c>
      <c r="F65" s="7" t="s">
        <v>207</v>
      </c>
      <c r="G65" s="7" t="s">
        <v>165</v>
      </c>
      <c r="H65" s="7" t="s">
        <v>264</v>
      </c>
      <c r="I65" s="7">
        <v>653.0</v>
      </c>
      <c r="J65" s="35" t="s">
        <v>268</v>
      </c>
    </row>
    <row r="66" ht="15.75" customHeight="1">
      <c r="A66" s="31">
        <v>4.8155011350867E13</v>
      </c>
      <c r="B66" s="37">
        <v>1.8436540371246E13</v>
      </c>
      <c r="C66" s="34" t="s">
        <v>213</v>
      </c>
      <c r="D66" s="34" t="s">
        <v>269</v>
      </c>
      <c r="E66" s="34" t="s">
        <v>270</v>
      </c>
      <c r="F66" s="7" t="s">
        <v>207</v>
      </c>
      <c r="G66" s="7" t="s">
        <v>165</v>
      </c>
      <c r="H66" s="7" t="s">
        <v>264</v>
      </c>
      <c r="I66" s="7">
        <v>653.0</v>
      </c>
      <c r="J66" s="35" t="s">
        <v>271</v>
      </c>
    </row>
    <row r="67" ht="15.75" customHeight="1">
      <c r="A67" s="31">
        <v>1.263294047853E13</v>
      </c>
      <c r="B67" s="32">
        <v>8.436540361547E12</v>
      </c>
      <c r="C67" s="7" t="s">
        <v>272</v>
      </c>
      <c r="D67" s="7"/>
      <c r="E67" s="7" t="s">
        <v>273</v>
      </c>
      <c r="F67" s="7" t="s">
        <v>207</v>
      </c>
      <c r="G67" s="7" t="s">
        <v>64</v>
      </c>
      <c r="H67" s="7" t="s">
        <v>274</v>
      </c>
      <c r="I67" s="7">
        <v>896.0</v>
      </c>
      <c r="J67" s="35" t="s">
        <v>275</v>
      </c>
    </row>
    <row r="68" ht="15.75" customHeight="1">
      <c r="A68" s="31">
        <v>1.4250706075714E13</v>
      </c>
      <c r="B68" s="32"/>
      <c r="C68" s="34" t="s">
        <v>276</v>
      </c>
      <c r="D68" s="34" t="s">
        <v>277</v>
      </c>
      <c r="E68" s="7" t="s">
        <v>273</v>
      </c>
      <c r="F68" s="7" t="s">
        <v>207</v>
      </c>
      <c r="G68" s="7" t="s">
        <v>64</v>
      </c>
      <c r="H68" s="7" t="s">
        <v>274</v>
      </c>
      <c r="I68" s="7">
        <v>896.0</v>
      </c>
      <c r="J68" s="35" t="s">
        <v>278</v>
      </c>
    </row>
    <row r="69" ht="15.75" customHeight="1">
      <c r="A69" s="31">
        <v>1.4102309306434E13</v>
      </c>
      <c r="B69" s="32">
        <v>8.436540361127E12</v>
      </c>
      <c r="C69" s="7" t="s">
        <v>279</v>
      </c>
      <c r="D69" s="7"/>
      <c r="E69" s="7" t="s">
        <v>280</v>
      </c>
      <c r="F69" s="7" t="s">
        <v>207</v>
      </c>
      <c r="G69" s="7" t="s">
        <v>64</v>
      </c>
      <c r="H69" s="7" t="s">
        <v>274</v>
      </c>
      <c r="I69" s="7">
        <v>896.0</v>
      </c>
      <c r="J69" s="36" t="s">
        <v>281</v>
      </c>
    </row>
    <row r="70" ht="15.75" customHeight="1">
      <c r="A70" s="31">
        <v>1.4250709057602E13</v>
      </c>
      <c r="B70" s="32"/>
      <c r="C70" s="34" t="s">
        <v>282</v>
      </c>
      <c r="D70" s="34" t="s">
        <v>283</v>
      </c>
      <c r="E70" s="7" t="s">
        <v>280</v>
      </c>
      <c r="F70" s="7" t="s">
        <v>207</v>
      </c>
      <c r="G70" s="7" t="s">
        <v>64</v>
      </c>
      <c r="H70" s="7" t="s">
        <v>274</v>
      </c>
      <c r="I70" s="7">
        <v>896.0</v>
      </c>
      <c r="J70" s="33" t="s">
        <v>284</v>
      </c>
    </row>
    <row r="71" ht="15.75" customHeight="1">
      <c r="A71" s="31">
        <v>1.383921477229E13</v>
      </c>
      <c r="B71" s="32">
        <v>8.436540361493E12</v>
      </c>
      <c r="C71" s="7" t="s">
        <v>272</v>
      </c>
      <c r="D71" s="7"/>
      <c r="E71" s="7" t="s">
        <v>285</v>
      </c>
      <c r="F71" s="7" t="s">
        <v>207</v>
      </c>
      <c r="G71" s="7" t="s">
        <v>64</v>
      </c>
      <c r="H71" s="7" t="s">
        <v>286</v>
      </c>
      <c r="I71" s="7">
        <v>920.0</v>
      </c>
      <c r="J71" s="33" t="s">
        <v>287</v>
      </c>
    </row>
    <row r="72" ht="15.75" customHeight="1">
      <c r="A72" s="31">
        <v>1.4250754048066E13</v>
      </c>
      <c r="B72" s="32"/>
      <c r="C72" s="34" t="s">
        <v>276</v>
      </c>
      <c r="D72" s="7" t="s">
        <v>288</v>
      </c>
      <c r="E72" s="7" t="s">
        <v>285</v>
      </c>
      <c r="F72" s="7" t="s">
        <v>207</v>
      </c>
      <c r="G72" s="7" t="s">
        <v>64</v>
      </c>
      <c r="H72" s="7" t="s">
        <v>286</v>
      </c>
      <c r="I72" s="7">
        <v>920.0</v>
      </c>
      <c r="J72" s="36" t="s">
        <v>289</v>
      </c>
    </row>
    <row r="73" ht="15.75" customHeight="1">
      <c r="A73" s="31">
        <v>1.5962371194946E13</v>
      </c>
      <c r="B73" s="32">
        <v>8.436540361097E12</v>
      </c>
      <c r="C73" s="7" t="s">
        <v>279</v>
      </c>
      <c r="D73" s="7"/>
      <c r="E73" s="7" t="s">
        <v>290</v>
      </c>
      <c r="F73" s="7" t="s">
        <v>207</v>
      </c>
      <c r="G73" s="7" t="s">
        <v>64</v>
      </c>
      <c r="H73" s="7" t="s">
        <v>286</v>
      </c>
      <c r="I73" s="7">
        <v>920.0</v>
      </c>
      <c r="J73" s="36" t="s">
        <v>291</v>
      </c>
    </row>
    <row r="74" ht="15.75" customHeight="1">
      <c r="A74" s="31">
        <v>1.5982942421058E13</v>
      </c>
      <c r="B74" s="32"/>
      <c r="C74" s="34" t="s">
        <v>282</v>
      </c>
      <c r="D74" s="7" t="s">
        <v>292</v>
      </c>
      <c r="E74" s="7" t="s">
        <v>290</v>
      </c>
      <c r="F74" s="7" t="s">
        <v>207</v>
      </c>
      <c r="G74" s="7" t="s">
        <v>64</v>
      </c>
      <c r="H74" s="7" t="s">
        <v>286</v>
      </c>
      <c r="I74" s="7">
        <v>920.0</v>
      </c>
      <c r="J74" s="35" t="s">
        <v>293</v>
      </c>
    </row>
    <row r="75" ht="15.75" customHeight="1">
      <c r="A75" s="31">
        <v>3.7988511940791E13</v>
      </c>
      <c r="B75" s="32">
        <v>8.436540360373E12</v>
      </c>
      <c r="C75" s="7" t="s">
        <v>272</v>
      </c>
      <c r="D75" s="7"/>
      <c r="E75" s="7" t="s">
        <v>294</v>
      </c>
      <c r="F75" s="7" t="s">
        <v>207</v>
      </c>
      <c r="G75" s="7" t="s">
        <v>64</v>
      </c>
      <c r="H75" s="7" t="s">
        <v>295</v>
      </c>
      <c r="I75" s="7">
        <v>854.0</v>
      </c>
      <c r="J75" s="35" t="s">
        <v>296</v>
      </c>
    </row>
    <row r="76" ht="15.75" customHeight="1">
      <c r="A76" s="31">
        <v>3.7988515152055E13</v>
      </c>
      <c r="B76" s="32"/>
      <c r="C76" s="34" t="s">
        <v>276</v>
      </c>
      <c r="D76" s="7" t="s">
        <v>297</v>
      </c>
      <c r="E76" s="7" t="s">
        <v>294</v>
      </c>
      <c r="F76" s="7" t="s">
        <v>207</v>
      </c>
      <c r="G76" s="7" t="s">
        <v>64</v>
      </c>
      <c r="H76" s="7" t="s">
        <v>295</v>
      </c>
      <c r="I76" s="7">
        <v>854.0</v>
      </c>
      <c r="J76" s="35" t="s">
        <v>298</v>
      </c>
    </row>
    <row r="77" ht="15.75" customHeight="1">
      <c r="A77" s="31">
        <v>1.410231740013E13</v>
      </c>
      <c r="B77" s="32">
        <v>8.43654036111E12</v>
      </c>
      <c r="C77" s="7" t="s">
        <v>279</v>
      </c>
      <c r="D77" s="7"/>
      <c r="E77" s="7" t="s">
        <v>299</v>
      </c>
      <c r="F77" s="7" t="s">
        <v>207</v>
      </c>
      <c r="G77" s="7" t="s">
        <v>64</v>
      </c>
      <c r="H77" s="7" t="s">
        <v>295</v>
      </c>
      <c r="I77" s="7">
        <v>854.0</v>
      </c>
      <c r="J77" s="35" t="s">
        <v>300</v>
      </c>
    </row>
    <row r="78" ht="15.75" customHeight="1">
      <c r="A78" s="31">
        <v>1.4250742546498E13</v>
      </c>
      <c r="B78" s="32"/>
      <c r="C78" s="34" t="s">
        <v>282</v>
      </c>
      <c r="D78" s="7" t="s">
        <v>301</v>
      </c>
      <c r="E78" s="7" t="s">
        <v>299</v>
      </c>
      <c r="F78" s="7" t="s">
        <v>207</v>
      </c>
      <c r="G78" s="7" t="s">
        <v>64</v>
      </c>
      <c r="H78" s="7" t="s">
        <v>295</v>
      </c>
      <c r="I78" s="7">
        <v>854.0</v>
      </c>
      <c r="J78" s="35" t="s">
        <v>302</v>
      </c>
    </row>
    <row r="79" ht="15.75" customHeight="1">
      <c r="A79" s="31">
        <v>1.3837300170818E13</v>
      </c>
      <c r="B79" s="32">
        <v>8.436540361509E12</v>
      </c>
      <c r="C79" s="7" t="s">
        <v>272</v>
      </c>
      <c r="D79" s="7"/>
      <c r="E79" s="7" t="s">
        <v>303</v>
      </c>
      <c r="F79" s="7" t="s">
        <v>207</v>
      </c>
      <c r="G79" s="7" t="s">
        <v>64</v>
      </c>
      <c r="H79" s="7" t="s">
        <v>304</v>
      </c>
      <c r="I79" s="7">
        <v>962.0</v>
      </c>
      <c r="J79" s="35" t="s">
        <v>305</v>
      </c>
    </row>
    <row r="80" ht="15.75" customHeight="1">
      <c r="A80" s="31">
        <v>1.4250757816386E13</v>
      </c>
      <c r="B80" s="32"/>
      <c r="C80" s="34" t="s">
        <v>276</v>
      </c>
      <c r="D80" s="7" t="s">
        <v>306</v>
      </c>
      <c r="E80" s="7" t="s">
        <v>303</v>
      </c>
      <c r="F80" s="7" t="s">
        <v>207</v>
      </c>
      <c r="G80" s="7" t="s">
        <v>64</v>
      </c>
      <c r="H80" s="7" t="s">
        <v>304</v>
      </c>
      <c r="I80" s="7">
        <v>962.0</v>
      </c>
      <c r="J80" s="36" t="s">
        <v>307</v>
      </c>
    </row>
    <row r="81" ht="15.75" customHeight="1">
      <c r="A81" s="31">
        <v>1.4102298001474E13</v>
      </c>
      <c r="B81" s="32">
        <v>8.43654036108E12</v>
      </c>
      <c r="C81" s="7" t="s">
        <v>279</v>
      </c>
      <c r="D81" s="7"/>
      <c r="E81" s="7" t="s">
        <v>308</v>
      </c>
      <c r="F81" s="7" t="s">
        <v>207</v>
      </c>
      <c r="G81" s="7" t="s">
        <v>64</v>
      </c>
      <c r="H81" s="7" t="s">
        <v>304</v>
      </c>
      <c r="I81" s="7">
        <v>962.0</v>
      </c>
      <c r="J81" s="36" t="s">
        <v>309</v>
      </c>
    </row>
    <row r="82" ht="15.75" customHeight="1">
      <c r="A82" s="31">
        <v>1.4250760896578E13</v>
      </c>
      <c r="B82" s="32"/>
      <c r="C82" s="34" t="s">
        <v>282</v>
      </c>
      <c r="D82" s="7" t="s">
        <v>310</v>
      </c>
      <c r="E82" s="7" t="s">
        <v>308</v>
      </c>
      <c r="F82" s="7" t="s">
        <v>207</v>
      </c>
      <c r="G82" s="7" t="s">
        <v>64</v>
      </c>
      <c r="H82" s="7" t="s">
        <v>304</v>
      </c>
      <c r="I82" s="7">
        <v>962.0</v>
      </c>
      <c r="J82" s="35" t="s">
        <v>311</v>
      </c>
    </row>
    <row r="83" ht="15.75" hidden="1" customHeight="1">
      <c r="A83" s="31">
        <v>1.403001235053E13</v>
      </c>
      <c r="B83" s="32">
        <v>8.436540360991E12</v>
      </c>
      <c r="C83" s="7" t="s">
        <v>272</v>
      </c>
      <c r="D83" s="7"/>
      <c r="E83" s="7" t="s">
        <v>312</v>
      </c>
      <c r="F83" s="7" t="s">
        <v>207</v>
      </c>
      <c r="G83" s="7" t="s">
        <v>64</v>
      </c>
      <c r="H83" s="7" t="s">
        <v>313</v>
      </c>
      <c r="I83" s="7">
        <v>1090.0</v>
      </c>
      <c r="J83" s="35" t="s">
        <v>314</v>
      </c>
    </row>
    <row r="84" ht="15.75" hidden="1" customHeight="1">
      <c r="A84" s="31">
        <v>1.4250733207618E13</v>
      </c>
      <c r="B84" s="32"/>
      <c r="C84" s="34" t="s">
        <v>276</v>
      </c>
      <c r="D84" s="7" t="s">
        <v>315</v>
      </c>
      <c r="E84" s="7" t="s">
        <v>312</v>
      </c>
      <c r="F84" s="7" t="s">
        <v>207</v>
      </c>
      <c r="G84" s="7" t="s">
        <v>64</v>
      </c>
      <c r="H84" s="7" t="s">
        <v>313</v>
      </c>
      <c r="I84" s="7">
        <v>1090.0</v>
      </c>
      <c r="J84" s="35" t="s">
        <v>316</v>
      </c>
    </row>
    <row r="85" ht="15.75" customHeight="1">
      <c r="A85" s="31">
        <v>1.5982645084226E13</v>
      </c>
      <c r="B85" s="32">
        <v>8.436540361134E12</v>
      </c>
      <c r="C85" s="7" t="s">
        <v>279</v>
      </c>
      <c r="D85" s="7"/>
      <c r="E85" s="7" t="s">
        <v>317</v>
      </c>
      <c r="F85" s="7" t="s">
        <v>207</v>
      </c>
      <c r="G85" s="7" t="s">
        <v>64</v>
      </c>
      <c r="H85" s="7" t="s">
        <v>313</v>
      </c>
      <c r="I85" s="7">
        <v>1090.0</v>
      </c>
      <c r="J85" s="35" t="s">
        <v>318</v>
      </c>
    </row>
    <row r="86" ht="15.75" customHeight="1">
      <c r="A86" s="31">
        <v>1.598292174445E13</v>
      </c>
      <c r="B86" s="32"/>
      <c r="C86" s="34" t="s">
        <v>282</v>
      </c>
      <c r="D86" s="7" t="s">
        <v>319</v>
      </c>
      <c r="E86" s="7" t="s">
        <v>317</v>
      </c>
      <c r="F86" s="7" t="s">
        <v>207</v>
      </c>
      <c r="G86" s="7" t="s">
        <v>64</v>
      </c>
      <c r="H86" s="7" t="s">
        <v>313</v>
      </c>
      <c r="I86" s="7">
        <v>1090.0</v>
      </c>
      <c r="J86" s="35" t="s">
        <v>320</v>
      </c>
    </row>
    <row r="87" ht="15.75" hidden="1" customHeight="1">
      <c r="A87" s="31">
        <v>1.2632863277122E13</v>
      </c>
      <c r="B87" s="32">
        <v>8.436540360366E12</v>
      </c>
      <c r="C87" s="7" t="s">
        <v>272</v>
      </c>
      <c r="D87" s="7"/>
      <c r="E87" s="7" t="s">
        <v>321</v>
      </c>
      <c r="F87" s="7" t="s">
        <v>207</v>
      </c>
      <c r="G87" s="7" t="s">
        <v>64</v>
      </c>
      <c r="H87" s="7" t="s">
        <v>322</v>
      </c>
      <c r="I87" s="7">
        <v>966.0</v>
      </c>
      <c r="J87" s="35" t="s">
        <v>323</v>
      </c>
    </row>
    <row r="88" ht="15.75" hidden="1" customHeight="1">
      <c r="A88" s="31">
        <v>1.4250724851778E13</v>
      </c>
      <c r="B88" s="32"/>
      <c r="C88" s="34" t="s">
        <v>276</v>
      </c>
      <c r="D88" s="7" t="s">
        <v>324</v>
      </c>
      <c r="E88" s="7" t="s">
        <v>321</v>
      </c>
      <c r="F88" s="7" t="s">
        <v>207</v>
      </c>
      <c r="G88" s="7" t="s">
        <v>64</v>
      </c>
      <c r="H88" s="7" t="s">
        <v>322</v>
      </c>
      <c r="I88" s="7">
        <v>966.0</v>
      </c>
      <c r="J88" s="35" t="s">
        <v>325</v>
      </c>
    </row>
    <row r="89" ht="15.75" customHeight="1">
      <c r="A89" s="31">
        <v>3.1708495183938E13</v>
      </c>
      <c r="B89" s="32">
        <v>8.436540362452E12</v>
      </c>
      <c r="C89" s="7" t="s">
        <v>272</v>
      </c>
      <c r="D89" s="7"/>
      <c r="E89" s="7" t="s">
        <v>326</v>
      </c>
      <c r="F89" s="7" t="s">
        <v>207</v>
      </c>
      <c r="G89" s="7" t="s">
        <v>64</v>
      </c>
      <c r="H89" s="7" t="s">
        <v>65</v>
      </c>
      <c r="I89" s="7">
        <v>1265.0</v>
      </c>
      <c r="J89" s="36" t="s">
        <v>327</v>
      </c>
    </row>
    <row r="90" ht="15.75" customHeight="1">
      <c r="A90" s="14">
        <v>3.1708495216706E13</v>
      </c>
      <c r="C90" s="34" t="s">
        <v>276</v>
      </c>
      <c r="D90" s="7" t="s">
        <v>328</v>
      </c>
      <c r="E90" s="7" t="s">
        <v>326</v>
      </c>
      <c r="F90" s="7" t="s">
        <v>207</v>
      </c>
      <c r="G90" s="7" t="s">
        <v>64</v>
      </c>
      <c r="H90" s="7" t="s">
        <v>65</v>
      </c>
      <c r="I90" s="7">
        <v>1265.0</v>
      </c>
      <c r="J90" s="36" t="s">
        <v>329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autoFilter ref="$B$5:$I$90">
    <filterColumn colId="3">
      <filters>
        <filter val="RETORN LATAS PERRO CORDERO CON ARROZ 185 GR"/>
        <filter val="RETORN ADULT POLLO 20 KG - NEW"/>
        <filter val="CAJA (24UD) RETORN LATAS GATO KITTEN  POLLO 80 GR"/>
        <filter val="RETORN ADULT SALMON 12 KG SMALL BITE"/>
        <filter val="RETORN ADULT SALMON 12 KG"/>
        <filter val="RETORN LATAS GATO ATUN CON MEJILLONES 80 GR"/>
        <filter val="RETORN ADULT POLLO 3 KG SMALL BITE - NEW"/>
        <filter val="RETORN LATAS GATO POLLO CON CONEJO 80 GR"/>
        <filter val="CAJA (24UD) RETORN LATAS GATO ATUN CON MEJILLONES 80 GR"/>
        <filter val="RETORN ADULT CORDERO 12 KG - SMALL"/>
        <filter val="RETORN LATAS GATO KITTEN POLLO 80 GR"/>
        <filter val="RETORN ADULT POLLO 3 KG - NEW"/>
        <filter val="RETORN PUPPY SALMON 12 KG"/>
        <filter val="CAJA (18UD) RETORN LATAS GATO ATUN CON SARDINA 80 GR"/>
        <filter val="RETORN LATAS PERRO ONLY CORDERO 185 GR"/>
        <filter val="RETORN LIGHT AND SENIOR SALMON 12 KG"/>
        <filter val="CAJA (18UD) RETORN LATAS GATO ATUN CON GAMBAS 80 GR"/>
        <filter val="RETORN LATAS PERRO ONLY POLLO 400 GR"/>
        <filter val="CAJA (24UD) RETORN LATAS GATO ATUN CON GAMBAS 80 GR"/>
        <filter val="CAJA (24UD) RETORN LATAS GATO ATUN CON SARDINA 80 GR"/>
        <filter val="RETORN LATAS PERRO POLLO CON ZANAHORIAS 400 GR"/>
        <filter val="RETORN LATAS GATO ATUN CON GAMBAS 80 GR"/>
        <filter val="RETORN CAT KITTEN 500 GR - NEW"/>
        <filter val="CAJA (18UD) RETORN LATAS GATO KITTEN  POLLO 80 GR"/>
        <filter val="RETORN LATAS PERRO PESCADO CON ZANAHORIA 400 GR"/>
        <filter val="CAJA (18UD) RETORN LATAS GATO POLLO CON CONEJO 80 GR"/>
        <filter val="RETORN ADULT CORDERO 3 KG SMALL BITE - NEW"/>
        <filter val="RETORN LATAS PERRO ONLY CORDERO 400 GR"/>
        <filter val="RETORN CAT ADULT LIGHT STERILIZED 8 KG"/>
        <filter val="RETORN LATAS PERRO ONLY POLLO 185 GR"/>
        <filter val="RETORN ADULT CORDERO 20 KG"/>
        <filter val="RETORN CAT ADULT CHICKEN 500 GR - NEW"/>
        <filter val="RETORN ADULT SALMON 3 KG SMALL BITE"/>
        <filter val="RETORN LATAS GATO ATUN CON SALMON 80 GR"/>
        <filter val="RETORN CAT ADULT CHICKEN 8KG"/>
        <filter val="RETORN LATAS GATO POLLO 80 GR"/>
        <filter val="RETORN ADULT SALMON 20 KG"/>
        <filter val="RETORN PUPPY SALMON 500 GR - NEW"/>
        <filter val="RETORN CAT ADULT FISH 2KG"/>
        <filter val="RETORN CAT KITTEN 2KG"/>
        <filter val="RETORN CAT ADULT LIGHT STERILIZED 2KG"/>
        <filter val="RETORN LIGHT AND SENIOR SALMON 20 KG"/>
        <filter val="RETORN CAT ADULT FISH 500 GR - NEW"/>
        <filter val="RETORN ADULT CORDERO SMALL BITE 500 GR - NEW"/>
        <filter val="RETORN LATAS PERRO CORDERO CON ARROZ 400 GR"/>
        <filter val="RETORN ADULT SALMON 3 KG"/>
        <filter val="RETORN ADULT SALMON 500 GR SMALL BITE - NEW"/>
        <filter val="RETORN ADULT POLLO 12 KG - NEW"/>
        <filter val="RETORN CAT ADULT FISH 8KG"/>
        <filter val="RETORN ADULT LIGHT &amp; SENIOR 3 KG - NEW"/>
        <filter val="CAJA (24UD) RETORN LATAS GATO POLLO CON CONEJO 80 GR"/>
        <filter val="RETORN LATAS PERRO POLLO CON ZANAHORIAS 185 GR"/>
        <filter val="RETORN PUPPY SALMON 3 KG - NEW"/>
        <filter val="RETORN LIGHT AND SENIOR 500 GR - NEW"/>
        <filter val="RETORN CAT ADULT LIGHT STERILIZED 500 -NEW"/>
        <filter val="CAJA (24UD) RETORN LATAS GATO POLLO 80 GR"/>
        <filter val="RETORN ADULT POLLO 500 GR - NEW"/>
        <filter val="RETORN ADULT POLLO 500 GR SMALL BITE - NEW"/>
        <filter val="RETORN ADULT CORDERO 3 KG"/>
        <filter val="RETORN LATAS GATO ATUN CON SARDINA 80 GR"/>
        <filter val="RETORN ADULT CORDERO 500 GR - NEW"/>
        <filter val="RETORN CAT KITTEN 8 KG"/>
        <filter val="CAJA (24UD) RETORN LATAS GATO ATUN CON SALMON 80 GR"/>
        <filter val="CAJA (18UD) RETORN LATAS GATO ATUN CON MEJILLONES 80 GR"/>
        <filter val="RETORN ADULT SALMON 500 GR - NEW"/>
        <filter val="CAJA (18UD) RETORN LATAS GATO POLLO 80 GR"/>
        <filter val="RETORN ADULT CORDERO 12 KG"/>
        <filter val="RETORN PUPPY SALMON 6 KG"/>
        <filter val="RETORN LATAS PERRO PUPPY CORDERO Y POLLO 185GR"/>
        <filter val="RETORN ADULT POLLO 12 KG - NEW SMALL BITE"/>
        <filter val="RETORN CAT ADULT CHICKEN 2KG"/>
      </filters>
    </filterColumn>
  </autoFilter>
  <hyperlinks>
    <hyperlink r:id="rId1" ref="J6"/>
    <hyperlink r:id="rId2" ref="J7"/>
    <hyperlink r:id="rId3" ref="J8"/>
    <hyperlink r:id="rId4" ref="J9"/>
    <hyperlink r:id="rId5" ref="J10"/>
    <hyperlink r:id="rId6" ref="J11"/>
    <hyperlink r:id="rId7" ref="J12"/>
    <hyperlink r:id="rId8" ref="J13"/>
    <hyperlink r:id="rId9" ref="J14"/>
    <hyperlink r:id="rId10" ref="J15"/>
    <hyperlink r:id="rId11" ref="J16"/>
    <hyperlink r:id="rId12" ref="J17"/>
    <hyperlink r:id="rId13" ref="J18"/>
    <hyperlink r:id="rId14" ref="J19"/>
    <hyperlink r:id="rId15" ref="J20"/>
    <hyperlink r:id="rId16" ref="J21"/>
    <hyperlink r:id="rId17" ref="J22"/>
    <hyperlink r:id="rId18" ref="J23"/>
    <hyperlink r:id="rId19" ref="J24"/>
    <hyperlink r:id="rId20" ref="J25"/>
    <hyperlink r:id="rId21" ref="J26"/>
    <hyperlink r:id="rId22" ref="J27"/>
    <hyperlink r:id="rId23" ref="J28"/>
    <hyperlink r:id="rId24" ref="J29"/>
    <hyperlink r:id="rId25" ref="J30"/>
    <hyperlink r:id="rId26" ref="J31"/>
    <hyperlink r:id="rId27" ref="J32"/>
    <hyperlink r:id="rId28" ref="J33"/>
    <hyperlink r:id="rId29" ref="J34"/>
    <hyperlink r:id="rId30" ref="J35"/>
    <hyperlink r:id="rId31" ref="J36"/>
    <hyperlink r:id="rId32" ref="J37"/>
    <hyperlink r:id="rId33" ref="J38"/>
    <hyperlink r:id="rId34" ref="J39"/>
    <hyperlink r:id="rId35" ref="J40"/>
    <hyperlink r:id="rId36" ref="J41"/>
    <hyperlink r:id="rId37" ref="J42"/>
    <hyperlink r:id="rId38" ref="J43"/>
    <hyperlink r:id="rId39" ref="J44"/>
    <hyperlink r:id="rId40" ref="J45"/>
    <hyperlink r:id="rId41" ref="J46"/>
    <hyperlink r:id="rId42" ref="J47"/>
    <hyperlink r:id="rId43" ref="J48"/>
    <hyperlink r:id="rId44" ref="J49"/>
    <hyperlink r:id="rId45" ref="J50"/>
    <hyperlink r:id="rId46" ref="J51"/>
    <hyperlink r:id="rId47" ref="J52"/>
    <hyperlink r:id="rId48" ref="J53"/>
    <hyperlink r:id="rId49" ref="J54"/>
    <hyperlink r:id="rId50" ref="J55"/>
    <hyperlink r:id="rId51" ref="J56"/>
    <hyperlink r:id="rId52" ref="J57"/>
    <hyperlink r:id="rId53" ref="J58"/>
    <hyperlink r:id="rId54" ref="J59"/>
    <hyperlink r:id="rId55" ref="J60"/>
    <hyperlink r:id="rId56" ref="J61"/>
    <hyperlink r:id="rId57" ref="J62"/>
    <hyperlink r:id="rId58" ref="J63"/>
    <hyperlink r:id="rId59" ref="J64"/>
    <hyperlink r:id="rId60" ref="J65"/>
    <hyperlink r:id="rId61" ref="J66"/>
    <hyperlink r:id="rId62" ref="J67"/>
    <hyperlink r:id="rId63" ref="J68"/>
    <hyperlink r:id="rId64" ref="J69"/>
    <hyperlink r:id="rId65" ref="J70"/>
    <hyperlink r:id="rId66" ref="J71"/>
    <hyperlink r:id="rId67" ref="J72"/>
    <hyperlink r:id="rId68" ref="J73"/>
    <hyperlink r:id="rId69" ref="J74"/>
    <hyperlink r:id="rId70" ref="J75"/>
    <hyperlink r:id="rId71" ref="J76"/>
    <hyperlink r:id="rId72" ref="J77"/>
    <hyperlink r:id="rId73" ref="J78"/>
    <hyperlink r:id="rId74" ref="J79"/>
    <hyperlink r:id="rId75" ref="J80"/>
    <hyperlink r:id="rId76" ref="J81"/>
    <hyperlink r:id="rId77" ref="J82"/>
    <hyperlink r:id="rId78" ref="J83"/>
    <hyperlink r:id="rId79" ref="J84"/>
    <hyperlink r:id="rId80" ref="J85"/>
    <hyperlink r:id="rId81" ref="J86"/>
    <hyperlink r:id="rId82" ref="J87"/>
    <hyperlink r:id="rId83" ref="J88"/>
    <hyperlink r:id="rId84" ref="J89"/>
    <hyperlink r:id="rId85" ref="J90"/>
  </hyperlinks>
  <printOptions/>
  <pageMargins bottom="0.75" footer="0.0" header="0.0" left="0.7" right="0.7" top="0.75"/>
  <pageSetup paperSize="9" orientation="portrait"/>
  <drawing r:id="rId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26.86"/>
    <col customWidth="1" min="4" max="4" width="30.43"/>
    <col customWidth="1" min="5" max="26" width="10.71"/>
  </cols>
  <sheetData>
    <row r="4">
      <c r="B4" s="9" t="s">
        <v>330</v>
      </c>
      <c r="C4" s="9" t="s">
        <v>331</v>
      </c>
      <c r="D4" s="9" t="s">
        <v>332</v>
      </c>
    </row>
    <row r="5">
      <c r="B5" s="7" t="s">
        <v>333</v>
      </c>
      <c r="C5" s="7" t="s">
        <v>334</v>
      </c>
      <c r="D5" s="7" t="s">
        <v>335</v>
      </c>
    </row>
    <row r="6">
      <c r="B6" s="7" t="s">
        <v>336</v>
      </c>
      <c r="C6" s="7" t="s">
        <v>337</v>
      </c>
      <c r="D6" s="7" t="s">
        <v>338</v>
      </c>
    </row>
    <row r="7">
      <c r="B7" s="7" t="s">
        <v>339</v>
      </c>
      <c r="C7" s="7" t="s">
        <v>340</v>
      </c>
      <c r="D7" s="7" t="s">
        <v>341</v>
      </c>
    </row>
    <row r="8">
      <c r="B8" s="7" t="s">
        <v>342</v>
      </c>
      <c r="C8" s="7" t="s">
        <v>343</v>
      </c>
      <c r="D8" s="7" t="s">
        <v>344</v>
      </c>
    </row>
    <row r="9">
      <c r="B9" s="7" t="s">
        <v>345</v>
      </c>
      <c r="C9" s="7" t="s">
        <v>346</v>
      </c>
      <c r="D9" s="7" t="s">
        <v>347</v>
      </c>
    </row>
    <row r="10">
      <c r="B10" s="7" t="s">
        <v>348</v>
      </c>
      <c r="C10" s="7" t="s">
        <v>349</v>
      </c>
      <c r="D10" s="7" t="s">
        <v>350</v>
      </c>
    </row>
    <row r="11">
      <c r="B11" s="7" t="s">
        <v>351</v>
      </c>
      <c r="C11" s="7" t="s">
        <v>352</v>
      </c>
      <c r="D11" s="7" t="s">
        <v>353</v>
      </c>
    </row>
    <row r="12">
      <c r="B12" s="7" t="s">
        <v>354</v>
      </c>
      <c r="C12" s="7" t="s">
        <v>355</v>
      </c>
      <c r="D12" s="7" t="s">
        <v>356</v>
      </c>
    </row>
    <row r="13">
      <c r="B13" s="7" t="s">
        <v>357</v>
      </c>
      <c r="C13" s="7" t="s">
        <v>358</v>
      </c>
      <c r="D13" s="38" t="s">
        <v>359</v>
      </c>
    </row>
    <row r="14">
      <c r="B14" s="7" t="s">
        <v>360</v>
      </c>
      <c r="C14" s="7" t="s">
        <v>361</v>
      </c>
      <c r="D14" s="7" t="s">
        <v>362</v>
      </c>
    </row>
    <row r="15">
      <c r="B15" s="7" t="s">
        <v>363</v>
      </c>
      <c r="C15" s="7" t="s">
        <v>364</v>
      </c>
      <c r="D15" s="7" t="s">
        <v>365</v>
      </c>
    </row>
    <row r="16">
      <c r="B16" s="7" t="s">
        <v>366</v>
      </c>
      <c r="C16" s="7" t="s">
        <v>367</v>
      </c>
      <c r="D16" s="7" t="s">
        <v>368</v>
      </c>
    </row>
    <row r="17">
      <c r="B17" s="7" t="s">
        <v>369</v>
      </c>
      <c r="C17" s="7" t="s">
        <v>370</v>
      </c>
      <c r="D17" s="7" t="s">
        <v>371</v>
      </c>
    </row>
    <row r="18">
      <c r="B18" s="7" t="s">
        <v>372</v>
      </c>
      <c r="C18" s="7" t="s">
        <v>373</v>
      </c>
      <c r="D18" s="7" t="s">
        <v>374</v>
      </c>
    </row>
    <row r="19">
      <c r="B19" s="7" t="s">
        <v>375</v>
      </c>
      <c r="C19" s="7" t="s">
        <v>376</v>
      </c>
      <c r="D19" s="7" t="s">
        <v>377</v>
      </c>
    </row>
    <row r="20">
      <c r="B20" s="7" t="s">
        <v>378</v>
      </c>
      <c r="C20" s="7" t="s">
        <v>379</v>
      </c>
      <c r="D20" s="38" t="s">
        <v>380</v>
      </c>
    </row>
    <row r="21" ht="15.75" customHeight="1">
      <c r="B21" s="7" t="s">
        <v>381</v>
      </c>
      <c r="C21" s="7" t="s">
        <v>382</v>
      </c>
      <c r="D21" s="7" t="s">
        <v>383</v>
      </c>
    </row>
    <row r="22" ht="15.75" customHeight="1">
      <c r="B22" s="7" t="s">
        <v>384</v>
      </c>
      <c r="C22" s="7" t="s">
        <v>385</v>
      </c>
      <c r="D22" s="7" t="s">
        <v>386</v>
      </c>
    </row>
    <row r="23" ht="15.75" customHeight="1">
      <c r="B23" s="7" t="s">
        <v>387</v>
      </c>
      <c r="C23" s="7" t="s">
        <v>388</v>
      </c>
      <c r="D23" s="7" t="s">
        <v>389</v>
      </c>
    </row>
    <row r="24" ht="15.75" customHeight="1">
      <c r="B24" s="7" t="s">
        <v>390</v>
      </c>
      <c r="C24" s="7" t="s">
        <v>391</v>
      </c>
      <c r="D24" s="7" t="s">
        <v>392</v>
      </c>
    </row>
    <row r="25" ht="15.75" customHeight="1">
      <c r="B25" s="7" t="s">
        <v>393</v>
      </c>
      <c r="C25" s="7" t="s">
        <v>394</v>
      </c>
      <c r="D25" s="7" t="s">
        <v>395</v>
      </c>
    </row>
    <row r="26" ht="15.75" customHeight="1">
      <c r="B26" s="7" t="s">
        <v>396</v>
      </c>
      <c r="C26" s="7" t="s">
        <v>397</v>
      </c>
      <c r="D26" s="7" t="s">
        <v>398</v>
      </c>
    </row>
    <row r="27" ht="15.75" customHeight="1">
      <c r="B27" s="7" t="s">
        <v>399</v>
      </c>
      <c r="C27" s="7" t="s">
        <v>400</v>
      </c>
      <c r="D27" s="7" t="s">
        <v>401</v>
      </c>
    </row>
    <row r="28" ht="15.75" customHeight="1">
      <c r="B28" s="7" t="s">
        <v>402</v>
      </c>
      <c r="C28" s="7" t="s">
        <v>403</v>
      </c>
      <c r="D28" s="7" t="s">
        <v>404</v>
      </c>
    </row>
    <row r="29" ht="15.75" customHeight="1">
      <c r="B29" s="7" t="s">
        <v>405</v>
      </c>
      <c r="C29" s="7" t="s">
        <v>406</v>
      </c>
      <c r="D29" s="7" t="s">
        <v>407</v>
      </c>
    </row>
    <row r="30" ht="15.75" customHeight="1">
      <c r="B30" s="7" t="s">
        <v>408</v>
      </c>
      <c r="C30" s="7" t="s">
        <v>409</v>
      </c>
      <c r="D30" s="7" t="s">
        <v>410</v>
      </c>
    </row>
    <row r="31" ht="15.75" customHeight="1">
      <c r="B31" s="7" t="s">
        <v>411</v>
      </c>
      <c r="C31" s="7" t="s">
        <v>412</v>
      </c>
      <c r="D31" s="38" t="s">
        <v>413</v>
      </c>
    </row>
    <row r="32" ht="15.75" customHeight="1">
      <c r="B32" s="7" t="s">
        <v>414</v>
      </c>
      <c r="C32" s="7" t="s">
        <v>415</v>
      </c>
      <c r="D32" s="7" t="s">
        <v>416</v>
      </c>
    </row>
    <row r="33" ht="15.75" customHeight="1">
      <c r="B33" s="7" t="s">
        <v>417</v>
      </c>
      <c r="C33" s="7" t="s">
        <v>418</v>
      </c>
      <c r="D33" s="7" t="s">
        <v>419</v>
      </c>
    </row>
    <row r="34" ht="15.75" customHeight="1">
      <c r="B34" s="7" t="s">
        <v>420</v>
      </c>
      <c r="C34" s="7" t="s">
        <v>421</v>
      </c>
      <c r="D34" s="7"/>
    </row>
    <row r="35" ht="15.75" customHeight="1">
      <c r="B35" s="7" t="s">
        <v>422</v>
      </c>
      <c r="C35" s="7" t="s">
        <v>423</v>
      </c>
      <c r="D35" s="7"/>
    </row>
    <row r="36" ht="15.75" customHeight="1">
      <c r="B36" s="7"/>
      <c r="C36" s="7" t="s">
        <v>424</v>
      </c>
      <c r="D36" s="7"/>
    </row>
    <row r="37" ht="15.75" customHeight="1">
      <c r="B37" s="7"/>
      <c r="C37" s="7" t="s">
        <v>425</v>
      </c>
      <c r="D37" s="7"/>
    </row>
    <row r="38" ht="15.75" customHeight="1">
      <c r="B38" s="7"/>
      <c r="C38" s="7" t="s">
        <v>426</v>
      </c>
      <c r="D38" s="7"/>
    </row>
    <row r="39" ht="15.75" customHeight="1">
      <c r="B39" s="7"/>
      <c r="C39" s="39" t="s">
        <v>427</v>
      </c>
      <c r="D39" s="7"/>
    </row>
    <row r="40" ht="15.75" customHeight="1">
      <c r="B40" s="7"/>
      <c r="C40" s="7" t="s">
        <v>428</v>
      </c>
      <c r="D40" s="7"/>
    </row>
    <row r="41" ht="15.75" customHeight="1">
      <c r="B41" s="7"/>
      <c r="C41" s="7" t="s">
        <v>429</v>
      </c>
      <c r="D41" s="7"/>
    </row>
    <row r="42" ht="15.75" customHeight="1">
      <c r="B42" s="7"/>
      <c r="C42" s="7" t="s">
        <v>430</v>
      </c>
      <c r="D42" s="7"/>
    </row>
    <row r="43" ht="15.75" customHeight="1">
      <c r="B43" s="7"/>
      <c r="C43" s="39" t="s">
        <v>431</v>
      </c>
      <c r="D43" s="7"/>
    </row>
    <row r="44" ht="15.75" customHeight="1">
      <c r="B44" s="7"/>
      <c r="C44" s="7" t="s">
        <v>432</v>
      </c>
      <c r="D44" s="7"/>
    </row>
    <row r="45" ht="15.75" customHeight="1">
      <c r="B45" s="7"/>
      <c r="C45" s="7" t="s">
        <v>433</v>
      </c>
      <c r="D45" s="7"/>
    </row>
    <row r="46" ht="15.75" customHeight="1">
      <c r="B46" s="7"/>
      <c r="C46" s="7" t="s">
        <v>434</v>
      </c>
      <c r="D46" s="7"/>
    </row>
    <row r="47" ht="15.75" customHeight="1">
      <c r="B47" s="7"/>
      <c r="C47" s="7" t="s">
        <v>435</v>
      </c>
      <c r="D47" s="7"/>
    </row>
    <row r="48" ht="15.75" customHeight="1">
      <c r="B48" s="7"/>
      <c r="C48" s="7" t="s">
        <v>436</v>
      </c>
      <c r="D48" s="7"/>
    </row>
    <row r="49" ht="15.75" customHeight="1">
      <c r="B49" s="7"/>
      <c r="C49" s="7" t="s">
        <v>437</v>
      </c>
      <c r="D49" s="7"/>
    </row>
    <row r="50" ht="15.75" customHeight="1">
      <c r="B50" s="7"/>
      <c r="C50" s="7" t="s">
        <v>438</v>
      </c>
      <c r="D50" s="7"/>
    </row>
    <row r="51" ht="15.75" customHeight="1">
      <c r="B51" s="7"/>
      <c r="C51" s="7" t="s">
        <v>439</v>
      </c>
      <c r="D51" s="7"/>
    </row>
    <row r="52" ht="15.75" customHeight="1">
      <c r="B52" s="7"/>
      <c r="C52" s="7" t="s">
        <v>440</v>
      </c>
      <c r="D52" s="7"/>
    </row>
    <row r="53" ht="15.75" customHeight="1">
      <c r="B53" s="7"/>
      <c r="C53" s="7" t="s">
        <v>441</v>
      </c>
      <c r="D53" s="7"/>
    </row>
    <row r="54" ht="15.75" customHeight="1">
      <c r="B54" s="7"/>
      <c r="C54" s="7" t="s">
        <v>442</v>
      </c>
      <c r="D54" s="7"/>
    </row>
    <row r="55" ht="15.75" customHeight="1">
      <c r="B55" s="7"/>
      <c r="C55" s="7" t="s">
        <v>443</v>
      </c>
      <c r="D55" s="7"/>
    </row>
    <row r="56" ht="15.75" customHeight="1">
      <c r="B56" s="7"/>
      <c r="C56" s="7" t="s">
        <v>444</v>
      </c>
      <c r="D56" s="7"/>
    </row>
    <row r="57" ht="15.75" customHeight="1">
      <c r="B57" s="7"/>
      <c r="C57" s="7" t="s">
        <v>445</v>
      </c>
      <c r="D57" s="7"/>
    </row>
    <row r="58" ht="15.75" customHeight="1">
      <c r="B58" s="7"/>
      <c r="C58" s="7" t="s">
        <v>446</v>
      </c>
      <c r="D58" s="7"/>
    </row>
    <row r="59" ht="15.75" customHeight="1">
      <c r="B59" s="7"/>
      <c r="C59" s="7" t="s">
        <v>447</v>
      </c>
      <c r="D59" s="7"/>
    </row>
    <row r="60" ht="15.75" customHeight="1">
      <c r="B60" s="7"/>
      <c r="C60" s="7" t="s">
        <v>448</v>
      </c>
      <c r="D60" s="7"/>
    </row>
    <row r="61" ht="15.75" customHeight="1">
      <c r="B61" s="7"/>
      <c r="C61" s="7" t="s">
        <v>449</v>
      </c>
      <c r="D61" s="7"/>
    </row>
    <row r="62" ht="15.75" customHeight="1">
      <c r="B62" s="7"/>
      <c r="C62" s="7" t="s">
        <v>450</v>
      </c>
      <c r="D62" s="7"/>
    </row>
    <row r="63" ht="15.75" customHeight="1">
      <c r="B63" s="7"/>
      <c r="C63" s="7" t="s">
        <v>451</v>
      </c>
      <c r="D63" s="7"/>
    </row>
    <row r="64" ht="15.75" customHeight="1">
      <c r="B64" s="7"/>
      <c r="C64" s="7" t="s">
        <v>452</v>
      </c>
      <c r="D64" s="7"/>
    </row>
    <row r="65" ht="15.75" customHeight="1">
      <c r="B65" s="7"/>
      <c r="C65" s="7" t="s">
        <v>453</v>
      </c>
      <c r="D65" s="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27.71"/>
    <col customWidth="1" min="5" max="5" width="32.29"/>
    <col customWidth="1" min="6" max="6" width="24.43"/>
    <col customWidth="1" min="7" max="7" width="22.71"/>
    <col customWidth="1" min="8" max="8" width="10.71"/>
    <col customWidth="1" min="9" max="9" width="12.71"/>
    <col customWidth="1" min="10" max="10" width="56.43"/>
    <col customWidth="1" min="11" max="26" width="10.71"/>
  </cols>
  <sheetData>
    <row r="5">
      <c r="E5" s="40" t="s">
        <v>454</v>
      </c>
      <c r="F5" s="41"/>
      <c r="G5" s="41"/>
      <c r="H5" s="41"/>
      <c r="I5" s="41"/>
      <c r="J5" s="42"/>
    </row>
    <row r="6">
      <c r="E6" s="43" t="s">
        <v>455</v>
      </c>
      <c r="F6" s="42"/>
      <c r="G6" s="43" t="s">
        <v>456</v>
      </c>
      <c r="H6" s="42"/>
      <c r="I6" s="43" t="s">
        <v>457</v>
      </c>
      <c r="J6" s="42"/>
    </row>
    <row r="7">
      <c r="E7" s="44" t="s">
        <v>458</v>
      </c>
      <c r="F7" s="45" t="s">
        <v>459</v>
      </c>
      <c r="G7" s="46" t="s">
        <v>460</v>
      </c>
      <c r="H7" s="42"/>
      <c r="I7" s="47" t="s">
        <v>461</v>
      </c>
      <c r="J7" s="47" t="s">
        <v>462</v>
      </c>
    </row>
    <row r="8">
      <c r="E8" s="44" t="s">
        <v>463</v>
      </c>
      <c r="F8" s="15">
        <f>'Formula Perros'!H11</f>
        <v>2479.352173</v>
      </c>
      <c r="G8" s="48">
        <f>F8/Productos!I9*1000</f>
        <v>718.4445591</v>
      </c>
      <c r="H8" s="42"/>
      <c r="I8" s="49">
        <f>((F8*75)/100)/Productos!I9*1000</f>
        <v>538.8334193</v>
      </c>
      <c r="J8" s="49">
        <f>((F8*25)/100)/Productos!I89*1000</f>
        <v>489.9905481</v>
      </c>
    </row>
    <row r="9">
      <c r="E9" s="44" t="s">
        <v>464</v>
      </c>
      <c r="F9" s="45"/>
      <c r="G9" s="48">
        <f>F8/Productos!I21*1000</f>
        <v>720.7419109</v>
      </c>
      <c r="H9" s="42"/>
      <c r="I9" s="49">
        <f>((F8*75)/100)/Productos!I21*1000</f>
        <v>540.5564332</v>
      </c>
      <c r="J9" s="49">
        <f>((F8*25)/100)/Productos!I68*1000</f>
        <v>691.7835305</v>
      </c>
    </row>
    <row r="10">
      <c r="E10" s="44" t="s">
        <v>465</v>
      </c>
      <c r="F10" s="45"/>
      <c r="G10" s="48">
        <f>F8/Productos!I16*1000</f>
        <v>674.8372818</v>
      </c>
      <c r="H10" s="42"/>
      <c r="I10" s="49">
        <f>((F8*75)/100)/Productos!I16*1000</f>
        <v>506.1279614</v>
      </c>
      <c r="J10" s="49">
        <f>((F8*25)/100)/Productos!I77*1000</f>
        <v>725.8056714</v>
      </c>
    </row>
    <row r="11">
      <c r="E11" s="44" t="s">
        <v>466</v>
      </c>
      <c r="F11" s="45"/>
      <c r="G11" s="48">
        <f>F8/Productos!I33*1000</f>
        <v>745.221573</v>
      </c>
      <c r="H11" s="42"/>
      <c r="I11" s="49">
        <f>((F8*75)/100)/Productos!I33*1000</f>
        <v>558.9161798</v>
      </c>
      <c r="J11" s="49">
        <f>((F8*25)/100)/Productos!I84*1000</f>
        <v>568.6587554</v>
      </c>
    </row>
    <row r="12">
      <c r="E12" s="44" t="s">
        <v>467</v>
      </c>
      <c r="F12" s="45"/>
      <c r="G12" s="48">
        <f>F8/Productos!I13*1000</f>
        <v>718.0284314</v>
      </c>
      <c r="H12" s="42"/>
      <c r="I12" s="49">
        <f>((F8*75)/100)/Productos!I13*1000</f>
        <v>538.5213235</v>
      </c>
      <c r="J12" s="49">
        <f>((F8*25)/100)/Productos!I84*1000</f>
        <v>568.6587554</v>
      </c>
    </row>
    <row r="15">
      <c r="G15" s="48">
        <f>F8/Productos!I86*1000</f>
        <v>2274.635022</v>
      </c>
      <c r="H15" s="42"/>
    </row>
    <row r="21" ht="15.75" customHeight="1">
      <c r="E21" s="50" t="s">
        <v>468</v>
      </c>
      <c r="F21" s="41"/>
      <c r="G21" s="41"/>
      <c r="H21" s="41"/>
      <c r="I21" s="41"/>
      <c r="J21" s="42"/>
    </row>
    <row r="22" ht="15.75" customHeight="1">
      <c r="E22" s="43" t="s">
        <v>455</v>
      </c>
      <c r="F22" s="42"/>
      <c r="G22" s="43" t="s">
        <v>456</v>
      </c>
      <c r="H22" s="42"/>
      <c r="I22" s="43" t="s">
        <v>457</v>
      </c>
      <c r="J22" s="42"/>
    </row>
    <row r="23" ht="15.75" customHeight="1">
      <c r="E23" s="44" t="s">
        <v>458</v>
      </c>
      <c r="F23" s="45" t="s">
        <v>459</v>
      </c>
      <c r="G23" s="45" t="s">
        <v>469</v>
      </c>
      <c r="H23" s="44"/>
      <c r="I23" s="47" t="s">
        <v>461</v>
      </c>
      <c r="J23" s="47" t="s">
        <v>470</v>
      </c>
    </row>
    <row r="24" ht="15.75" customHeight="1">
      <c r="E24" s="44" t="s">
        <v>471</v>
      </c>
      <c r="F24" s="15">
        <f>'Formula Gatos'!I11</f>
        <v>159.1072968</v>
      </c>
      <c r="G24" s="51">
        <f>F24/Productos!I38*1000</f>
        <v>39.0927019</v>
      </c>
      <c r="H24" s="44"/>
      <c r="I24" s="49">
        <f>((F24*75)/100)/Productos!I38*1000</f>
        <v>29.31952643</v>
      </c>
      <c r="J24" s="49">
        <f>((F24*25)/100)/Productos!I53*1000</f>
        <v>42.18114972</v>
      </c>
    </row>
    <row r="25" ht="15.75" customHeight="1">
      <c r="E25" s="44" t="s">
        <v>472</v>
      </c>
      <c r="F25" s="44"/>
      <c r="G25" s="51">
        <f>F24/Productos!I36*1000</f>
        <v>43.16530026</v>
      </c>
      <c r="H25" s="44"/>
      <c r="I25" s="49">
        <f>((F24*75)/100)/Productos!I36*1000</f>
        <v>32.37397519</v>
      </c>
      <c r="J25" s="49">
        <f>((F24*25)/100)/Productos!I64*1000</f>
        <v>60.91397272</v>
      </c>
    </row>
    <row r="26" ht="15.75" customHeight="1">
      <c r="E26" s="44" t="s">
        <v>473</v>
      </c>
      <c r="F26" s="44"/>
      <c r="G26" s="51">
        <f>F24/Productos!I41*1000</f>
        <v>40.38256263</v>
      </c>
      <c r="H26" s="44"/>
      <c r="I26" s="49">
        <f>((F24*75)/100)/Productos!I41*1000</f>
        <v>30.28692197</v>
      </c>
      <c r="J26" s="49">
        <f>((F24*25)/100)/Productos!I50*1000</f>
        <v>40.96480349</v>
      </c>
    </row>
    <row r="27" ht="15.75" customHeight="1">
      <c r="E27" s="44" t="s">
        <v>474</v>
      </c>
      <c r="F27" s="44"/>
      <c r="G27" s="51">
        <f>F24/Productos!I44*1000</f>
        <v>38.12779697</v>
      </c>
      <c r="H27" s="44"/>
      <c r="I27" s="49">
        <f>((F24*75)/100)/Productos!I44*1000</f>
        <v>28.59584773</v>
      </c>
      <c r="J27" s="49">
        <f>((F24*25)/100)/Productos!I48*1000</f>
        <v>45.66799562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G10:H10"/>
    <mergeCell ref="G11:H11"/>
    <mergeCell ref="G12:H12"/>
    <mergeCell ref="G15:H15"/>
    <mergeCell ref="E21:J21"/>
    <mergeCell ref="E22:F22"/>
    <mergeCell ref="G22:H22"/>
    <mergeCell ref="I22:J22"/>
    <mergeCell ref="E5:J5"/>
    <mergeCell ref="E6:F6"/>
    <mergeCell ref="G6:H6"/>
    <mergeCell ref="I6:J6"/>
    <mergeCell ref="G7:H7"/>
    <mergeCell ref="G8:H8"/>
    <mergeCell ref="G9:H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2023-02-02T08:34:27Z</dcterms:created>
  <dc:creator>Guillem Resina</dc:creator>
</cp:coreProperties>
</file>